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i45\Desktop\"/>
    </mc:Choice>
  </mc:AlternateContent>
  <xr:revisionPtr revIDLastSave="0" documentId="13_ncr:1_{897AE3AA-29D3-47D8-923B-90A65EB21D83}" xr6:coauthVersionLast="47" xr6:coauthVersionMax="47" xr10:uidLastSave="{00000000-0000-0000-0000-000000000000}"/>
  <bookViews>
    <workbookView xWindow="-120" yWindow="-120" windowWidth="57840" windowHeight="32040" xr2:uid="{66736126-8666-478C-AFCB-A6D8F2A0C8D0}"/>
  </bookViews>
  <sheets>
    <sheet name="태경홀딩스_근로자명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2" i="1" l="1"/>
  <c r="L52" i="1"/>
  <c r="R51" i="1"/>
  <c r="L51" i="1"/>
  <c r="R50" i="1"/>
  <c r="L50" i="1"/>
  <c r="R49" i="1"/>
  <c r="L49" i="1"/>
  <c r="R48" i="1"/>
  <c r="L48" i="1"/>
  <c r="R47" i="1"/>
  <c r="L47" i="1"/>
  <c r="R46" i="1"/>
  <c r="L46" i="1"/>
  <c r="R45" i="1"/>
  <c r="L45" i="1"/>
  <c r="R44" i="1"/>
  <c r="L44" i="1"/>
  <c r="R43" i="1"/>
  <c r="L43" i="1"/>
  <c r="R42" i="1"/>
  <c r="L42" i="1"/>
  <c r="R41" i="1"/>
  <c r="L41" i="1"/>
  <c r="R40" i="1"/>
  <c r="L40" i="1"/>
  <c r="R39" i="1"/>
  <c r="L39" i="1"/>
  <c r="R38" i="1"/>
  <c r="L38" i="1"/>
  <c r="R37" i="1"/>
  <c r="L37" i="1"/>
  <c r="R36" i="1"/>
  <c r="L36" i="1"/>
  <c r="R35" i="1"/>
  <c r="L35" i="1"/>
  <c r="R34" i="1"/>
  <c r="L34" i="1"/>
  <c r="R33" i="1"/>
  <c r="L33" i="1"/>
  <c r="R32" i="1"/>
  <c r="L32" i="1"/>
  <c r="R31" i="1"/>
  <c r="L31" i="1"/>
  <c r="R30" i="1"/>
  <c r="L30" i="1"/>
  <c r="R29" i="1"/>
  <c r="L29" i="1"/>
  <c r="R28" i="1"/>
  <c r="L28" i="1"/>
  <c r="R27" i="1"/>
  <c r="L27" i="1"/>
  <c r="R26" i="1"/>
  <c r="L26" i="1"/>
  <c r="R25" i="1"/>
  <c r="L25" i="1"/>
  <c r="R24" i="1"/>
  <c r="L24" i="1"/>
  <c r="R23" i="1"/>
  <c r="L23" i="1"/>
  <c r="R22" i="1"/>
  <c r="L22" i="1"/>
  <c r="R21" i="1"/>
  <c r="L21" i="1"/>
  <c r="R20" i="1"/>
  <c r="L20" i="1"/>
  <c r="R19" i="1"/>
  <c r="L19" i="1"/>
  <c r="R18" i="1"/>
  <c r="L18" i="1"/>
  <c r="R17" i="1"/>
  <c r="L17" i="1"/>
  <c r="R16" i="1"/>
  <c r="L16" i="1"/>
  <c r="R15" i="1"/>
  <c r="L15" i="1"/>
  <c r="R14" i="1"/>
  <c r="L14" i="1"/>
  <c r="R13" i="1"/>
  <c r="L13" i="1"/>
  <c r="R12" i="1"/>
  <c r="L12" i="1"/>
  <c r="R11" i="1"/>
  <c r="L11" i="1"/>
  <c r="R10" i="1"/>
  <c r="L10" i="1"/>
  <c r="R9" i="1"/>
  <c r="L9" i="1"/>
  <c r="R8" i="1"/>
  <c r="L8" i="1"/>
  <c r="R7" i="1"/>
  <c r="L7" i="1"/>
  <c r="R6" i="1"/>
  <c r="L6" i="1"/>
  <c r="R5" i="1"/>
  <c r="L5" i="1"/>
</calcChain>
</file>

<file path=xl/sharedStrings.xml><?xml version="1.0" encoding="utf-8"?>
<sst xmlns="http://schemas.openxmlformats.org/spreadsheetml/2006/main" count="651" uniqueCount="321">
  <si>
    <t>담 당</t>
  </si>
  <si>
    <t>과 장</t>
  </si>
  <si>
    <t>대표이사</t>
  </si>
  <si>
    <t>작성일자 : 2026-2-28</t>
    <phoneticPr fontId="6" type="noConversion"/>
  </si>
  <si>
    <t>번 호</t>
  </si>
  <si>
    <t>성  명</t>
  </si>
  <si>
    <t xml:space="preserve">4대보험 </t>
  </si>
  <si>
    <t>급 여</t>
  </si>
  <si>
    <t>성 별</t>
  </si>
  <si>
    <t>주민등록번호</t>
  </si>
  <si>
    <t>나 이</t>
  </si>
  <si>
    <t>주     소</t>
  </si>
  <si>
    <t>연 락 처</t>
  </si>
  <si>
    <t>급여계좌</t>
  </si>
  <si>
    <t>은 행</t>
  </si>
  <si>
    <t>입사일</t>
  </si>
  <si>
    <t>재직기간</t>
  </si>
  <si>
    <t>퇴사일</t>
  </si>
  <si>
    <t>이상욱</t>
  </si>
  <si>
    <t>미가입</t>
  </si>
  <si>
    <t>남</t>
  </si>
  <si>
    <t>800721-1036611</t>
  </si>
  <si>
    <t>-</t>
  </si>
  <si>
    <t>010-3616-4451</t>
  </si>
  <si>
    <t>02810-13-6587070</t>
  </si>
  <si>
    <t>상호</t>
  </si>
  <si>
    <t>23-05-01</t>
    <phoneticPr fontId="6" type="noConversion"/>
  </si>
  <si>
    <t>이은화</t>
  </si>
  <si>
    <t>가입
(21.12.01)</t>
    <phoneticPr fontId="6" type="noConversion"/>
  </si>
  <si>
    <t>여</t>
  </si>
  <si>
    <t>770726-2560316</t>
  </si>
  <si>
    <t>010-9467-2412</t>
  </si>
  <si>
    <t>1002-753-707315</t>
  </si>
  <si>
    <t>우리</t>
  </si>
  <si>
    <t>21-11-01</t>
    <phoneticPr fontId="6" type="noConversion"/>
  </si>
  <si>
    <t>이수민
(이수연)</t>
    <phoneticPr fontId="6" type="noConversion"/>
  </si>
  <si>
    <t>여</t>
    <phoneticPr fontId="6" type="noConversion"/>
  </si>
  <si>
    <t>920126-2244716</t>
    <phoneticPr fontId="6" type="noConversion"/>
  </si>
  <si>
    <t>010-8741-5564</t>
    <phoneticPr fontId="6" type="noConversion"/>
  </si>
  <si>
    <t>110-381-979430</t>
    <phoneticPr fontId="6" type="noConversion"/>
  </si>
  <si>
    <t>신한
(이수연)</t>
    <phoneticPr fontId="6" type="noConversion"/>
  </si>
  <si>
    <t>22-12-05</t>
    <phoneticPr fontId="6" type="noConversion"/>
  </si>
  <si>
    <t>소민나</t>
    <phoneticPr fontId="6" type="noConversion"/>
  </si>
  <si>
    <t>가입
(25.05.01)</t>
    <phoneticPr fontId="6" type="noConversion"/>
  </si>
  <si>
    <t>남</t>
    <phoneticPr fontId="6" type="noConversion"/>
  </si>
  <si>
    <t>830906-2018929</t>
    <phoneticPr fontId="6" type="noConversion"/>
  </si>
  <si>
    <t>010-9614-7085</t>
    <phoneticPr fontId="6" type="noConversion"/>
  </si>
  <si>
    <t>435-910405-60707</t>
    <phoneticPr fontId="6" type="noConversion"/>
  </si>
  <si>
    <t>하나</t>
    <phoneticPr fontId="6" type="noConversion"/>
  </si>
  <si>
    <t>23-03-20</t>
    <phoneticPr fontId="6" type="noConversion"/>
  </si>
  <si>
    <t>최재원</t>
    <phoneticPr fontId="6" type="noConversion"/>
  </si>
  <si>
    <t>가입
(23.05.01)</t>
    <phoneticPr fontId="6" type="noConversion"/>
  </si>
  <si>
    <t>790704-1012017</t>
    <phoneticPr fontId="6" type="noConversion"/>
  </si>
  <si>
    <t>010-6211-0684</t>
    <phoneticPr fontId="6" type="noConversion"/>
  </si>
  <si>
    <t>534-001881-02-010</t>
    <phoneticPr fontId="6" type="noConversion"/>
  </si>
  <si>
    <t>기업</t>
    <phoneticPr fontId="6" type="noConversion"/>
  </si>
  <si>
    <t>박길훈</t>
    <phoneticPr fontId="6" type="noConversion"/>
  </si>
  <si>
    <t>890617-5100059</t>
    <phoneticPr fontId="6" type="noConversion"/>
  </si>
  <si>
    <t>010-7220-7388</t>
    <phoneticPr fontId="6" type="noConversion"/>
  </si>
  <si>
    <t>435002-01-394159</t>
    <phoneticPr fontId="6" type="noConversion"/>
  </si>
  <si>
    <t>국민</t>
    <phoneticPr fontId="6" type="noConversion"/>
  </si>
  <si>
    <t>23-04-12</t>
    <phoneticPr fontId="6" type="noConversion"/>
  </si>
  <si>
    <t>정찬모</t>
    <phoneticPr fontId="6" type="noConversion"/>
  </si>
  <si>
    <t>650919-1037112</t>
    <phoneticPr fontId="6" type="noConversion"/>
  </si>
  <si>
    <t>010-7526-0556</t>
    <phoneticPr fontId="6" type="noConversion"/>
  </si>
  <si>
    <t>1002-760-560071</t>
    <phoneticPr fontId="6" type="noConversion"/>
  </si>
  <si>
    <t>우리</t>
    <phoneticPr fontId="6" type="noConversion"/>
  </si>
  <si>
    <t>23-04-17</t>
    <phoneticPr fontId="6" type="noConversion"/>
  </si>
  <si>
    <t>이희찬</t>
    <phoneticPr fontId="6" type="noConversion"/>
  </si>
  <si>
    <t>880214-1409912</t>
    <phoneticPr fontId="6" type="noConversion"/>
  </si>
  <si>
    <t>-</t>
    <phoneticPr fontId="6" type="noConversion"/>
  </si>
  <si>
    <t>010-3064-4789</t>
    <phoneticPr fontId="6" type="noConversion"/>
  </si>
  <si>
    <t>020-06-217517</t>
    <phoneticPr fontId="6" type="noConversion"/>
  </si>
  <si>
    <t>카카오
페이
증권</t>
    <phoneticPr fontId="6" type="noConversion"/>
  </si>
  <si>
    <t>23-06-01</t>
    <phoneticPr fontId="6" type="noConversion"/>
  </si>
  <si>
    <t>서순자</t>
    <phoneticPr fontId="6" type="noConversion"/>
  </si>
  <si>
    <t>가입
(23.06.01)</t>
    <phoneticPr fontId="6" type="noConversion"/>
  </si>
  <si>
    <t>650209-2661525</t>
    <phoneticPr fontId="6" type="noConversion"/>
  </si>
  <si>
    <t>010-3260-7381</t>
    <phoneticPr fontId="6" type="noConversion"/>
  </si>
  <si>
    <t>110-149-436857</t>
    <phoneticPr fontId="6" type="noConversion"/>
  </si>
  <si>
    <t>신한</t>
    <phoneticPr fontId="6" type="noConversion"/>
  </si>
  <si>
    <t>문형자</t>
    <phoneticPr fontId="6" type="noConversion"/>
  </si>
  <si>
    <t>가입
(23.08.01)</t>
    <phoneticPr fontId="6" type="noConversion"/>
  </si>
  <si>
    <t>640718-2657020</t>
    <phoneticPr fontId="6" type="noConversion"/>
  </si>
  <si>
    <t>010-3741-9672</t>
    <phoneticPr fontId="6" type="noConversion"/>
  </si>
  <si>
    <t>110-563-687945</t>
    <phoneticPr fontId="6" type="noConversion"/>
  </si>
  <si>
    <t>23-06-26</t>
    <phoneticPr fontId="6" type="noConversion"/>
  </si>
  <si>
    <t>정진아</t>
    <phoneticPr fontId="6" type="noConversion"/>
  </si>
  <si>
    <t>720916-2113619</t>
    <phoneticPr fontId="6" type="noConversion"/>
  </si>
  <si>
    <t>010-2448-9160</t>
    <phoneticPr fontId="6" type="noConversion"/>
  </si>
  <si>
    <t>807-072319-02-003</t>
    <phoneticPr fontId="6" type="noConversion"/>
  </si>
  <si>
    <t>23-08-08</t>
    <phoneticPr fontId="6" type="noConversion"/>
  </si>
  <si>
    <t>양명섭</t>
    <phoneticPr fontId="6" type="noConversion"/>
  </si>
  <si>
    <t>800507-1237539</t>
    <phoneticPr fontId="6" type="noConversion"/>
  </si>
  <si>
    <t>010-4849-8057</t>
    <phoneticPr fontId="6" type="noConversion"/>
  </si>
  <si>
    <t>431802-01-318966</t>
    <phoneticPr fontId="6" type="noConversion"/>
  </si>
  <si>
    <t>23-11-01</t>
    <phoneticPr fontId="6" type="noConversion"/>
  </si>
  <si>
    <t>조창오</t>
    <phoneticPr fontId="6" type="noConversion"/>
  </si>
  <si>
    <t>가입
(24.04.01)</t>
    <phoneticPr fontId="6" type="noConversion"/>
  </si>
  <si>
    <t>900813-1045213</t>
    <phoneticPr fontId="6" type="noConversion"/>
  </si>
  <si>
    <t>010-8528-2532</t>
    <phoneticPr fontId="6" type="noConversion"/>
  </si>
  <si>
    <t>312-0096-6639-71</t>
    <phoneticPr fontId="6" type="noConversion"/>
  </si>
  <si>
    <t>농협</t>
    <phoneticPr fontId="6" type="noConversion"/>
  </si>
  <si>
    <t>24-01-15</t>
    <phoneticPr fontId="6" type="noConversion"/>
  </si>
  <si>
    <t>김학진</t>
    <phoneticPr fontId="6" type="noConversion"/>
  </si>
  <si>
    <t>950506-1164413</t>
    <phoneticPr fontId="6" type="noConversion"/>
  </si>
  <si>
    <t>010-2442-7071</t>
    <phoneticPr fontId="6" type="noConversion"/>
  </si>
  <si>
    <t>356-1274-0293-13</t>
    <phoneticPr fontId="6" type="noConversion"/>
  </si>
  <si>
    <t>24-04-01</t>
    <phoneticPr fontId="6" type="noConversion"/>
  </si>
  <si>
    <t>미작성</t>
    <phoneticPr fontId="6" type="noConversion"/>
  </si>
  <si>
    <t>박민수</t>
    <phoneticPr fontId="6" type="noConversion"/>
  </si>
  <si>
    <t>780804-1057719</t>
    <phoneticPr fontId="6" type="noConversion"/>
  </si>
  <si>
    <t>010-8921-8849</t>
    <phoneticPr fontId="6" type="noConversion"/>
  </si>
  <si>
    <t>020-11-561228</t>
    <phoneticPr fontId="6" type="noConversion"/>
  </si>
  <si>
    <t>카카오
페이증권</t>
    <phoneticPr fontId="6" type="noConversion"/>
  </si>
  <si>
    <t>24-05-21</t>
    <phoneticPr fontId="6" type="noConversion"/>
  </si>
  <si>
    <t>최환일</t>
    <phoneticPr fontId="6" type="noConversion"/>
  </si>
  <si>
    <t>가입
(25.01.01)</t>
    <phoneticPr fontId="6" type="noConversion"/>
  </si>
  <si>
    <t>900630-1478011</t>
    <phoneticPr fontId="6" type="noConversion"/>
  </si>
  <si>
    <t>010-4018-2687</t>
    <phoneticPr fontId="6" type="noConversion"/>
  </si>
  <si>
    <t>117-910503-29907</t>
    <phoneticPr fontId="6" type="noConversion"/>
  </si>
  <si>
    <t>24-09-13</t>
    <phoneticPr fontId="6" type="noConversion"/>
  </si>
  <si>
    <t>윤태광</t>
    <phoneticPr fontId="6" type="noConversion"/>
  </si>
  <si>
    <t>가입
(26.01.01)</t>
    <phoneticPr fontId="6" type="noConversion"/>
  </si>
  <si>
    <t>921003-1228611</t>
    <phoneticPr fontId="6" type="noConversion"/>
  </si>
  <si>
    <t>010-3879-9210</t>
    <phoneticPr fontId="6" type="noConversion"/>
  </si>
  <si>
    <t>020-05-893408</t>
    <phoneticPr fontId="6" type="noConversion"/>
  </si>
  <si>
    <t>24-11-01</t>
    <phoneticPr fontId="6" type="noConversion"/>
  </si>
  <si>
    <t>임영장</t>
    <phoneticPr fontId="6" type="noConversion"/>
  </si>
  <si>
    <t>가입
(24.12.01)</t>
    <phoneticPr fontId="6" type="noConversion"/>
  </si>
  <si>
    <t>740327-1058041</t>
    <phoneticPr fontId="6" type="noConversion"/>
  </si>
  <si>
    <t>010-5348-6847</t>
    <phoneticPr fontId="6" type="noConversion"/>
  </si>
  <si>
    <t>356-091244-04-010</t>
    <phoneticPr fontId="6" type="noConversion"/>
  </si>
  <si>
    <t>24-11-18</t>
    <phoneticPr fontId="6" type="noConversion"/>
  </si>
  <si>
    <t>윤성희</t>
    <phoneticPr fontId="6" type="noConversion"/>
  </si>
  <si>
    <t>650221-2068819</t>
    <phoneticPr fontId="6" type="noConversion"/>
  </si>
  <si>
    <t>010-9250-3694</t>
    <phoneticPr fontId="6" type="noConversion"/>
  </si>
  <si>
    <t>802201-00-077517</t>
    <phoneticPr fontId="6" type="noConversion"/>
  </si>
  <si>
    <t>24-11-25</t>
    <phoneticPr fontId="6" type="noConversion"/>
  </si>
  <si>
    <t>장미란</t>
    <phoneticPr fontId="6" type="noConversion"/>
  </si>
  <si>
    <t>890710-2029711</t>
    <phoneticPr fontId="6" type="noConversion"/>
  </si>
  <si>
    <t>010-8205-9473</t>
    <phoneticPr fontId="6" type="noConversion"/>
  </si>
  <si>
    <t>312-0026-2315-71</t>
    <phoneticPr fontId="6" type="noConversion"/>
  </si>
  <si>
    <t>25-03-01</t>
    <phoneticPr fontId="6" type="noConversion"/>
  </si>
  <si>
    <t>고아미</t>
    <phoneticPr fontId="6" type="noConversion"/>
  </si>
  <si>
    <t>920603-2415522</t>
    <phoneticPr fontId="6" type="noConversion"/>
  </si>
  <si>
    <t>010-2365-4038</t>
    <phoneticPr fontId="6" type="noConversion"/>
  </si>
  <si>
    <t>222-9105-6969-607</t>
    <phoneticPr fontId="6" type="noConversion"/>
  </si>
  <si>
    <t>25-04-01</t>
    <phoneticPr fontId="6" type="noConversion"/>
  </si>
  <si>
    <t>김홍찬</t>
    <phoneticPr fontId="6" type="noConversion"/>
  </si>
  <si>
    <t>970820-1048017</t>
    <phoneticPr fontId="6" type="noConversion"/>
  </si>
  <si>
    <t>010-7609-4150</t>
    <phoneticPr fontId="6" type="noConversion"/>
  </si>
  <si>
    <t>216502-04-485125</t>
    <phoneticPr fontId="6" type="noConversion"/>
  </si>
  <si>
    <t>25-05-28</t>
    <phoneticPr fontId="6" type="noConversion"/>
  </si>
  <si>
    <t>임지민</t>
  </si>
  <si>
    <t>가입
(25.10.01)</t>
    <phoneticPr fontId="6" type="noConversion"/>
  </si>
  <si>
    <t>950616-1162216</t>
    <phoneticPr fontId="6" type="noConversion"/>
  </si>
  <si>
    <t>010-8688-5913</t>
  </si>
  <si>
    <t>301-03-06759711</t>
    <phoneticPr fontId="6" type="noConversion"/>
  </si>
  <si>
    <t>25-09-01</t>
    <phoneticPr fontId="6" type="noConversion"/>
  </si>
  <si>
    <t>권비</t>
    <phoneticPr fontId="6" type="noConversion"/>
  </si>
  <si>
    <t>900926-1065413</t>
    <phoneticPr fontId="6" type="noConversion"/>
  </si>
  <si>
    <t>010-9258-1237</t>
    <phoneticPr fontId="6" type="noConversion"/>
  </si>
  <si>
    <t>3333-21-9813218</t>
    <phoneticPr fontId="6" type="noConversion"/>
  </si>
  <si>
    <t>카카오</t>
    <phoneticPr fontId="6" type="noConversion"/>
  </si>
  <si>
    <t>26-01-01</t>
    <phoneticPr fontId="6" type="noConversion"/>
  </si>
  <si>
    <t>근로자명부 [보트랜스]</t>
    <phoneticPr fontId="3" type="noConversion"/>
  </si>
  <si>
    <t>의왕</t>
  </si>
  <si>
    <t>의왕</t>
    <phoneticPr fontId="3" type="noConversion"/>
  </si>
  <si>
    <t>김동철</t>
  </si>
  <si>
    <t>서이천</t>
    <phoneticPr fontId="6" type="noConversion"/>
  </si>
  <si>
    <t>830416-1260914</t>
  </si>
  <si>
    <t>010-9016-7886</t>
    <phoneticPr fontId="6" type="noConversion"/>
  </si>
  <si>
    <t>기업</t>
  </si>
  <si>
    <t>24-02-01</t>
    <phoneticPr fontId="6" type="noConversion"/>
  </si>
  <si>
    <t>문수성</t>
  </si>
  <si>
    <t>서이천</t>
  </si>
  <si>
    <t>가입
(21.10.05)</t>
    <phoneticPr fontId="6" type="noConversion"/>
  </si>
  <si>
    <t>830521-1106417</t>
    <phoneticPr fontId="6" type="noConversion"/>
  </si>
  <si>
    <t>010-4120-1651</t>
    <phoneticPr fontId="6" type="noConversion"/>
  </si>
  <si>
    <t>296-21-0157-433</t>
  </si>
  <si>
    <t>국민</t>
  </si>
  <si>
    <t>21-10-05</t>
  </si>
  <si>
    <t>황진영</t>
    <phoneticPr fontId="6" type="noConversion"/>
  </si>
  <si>
    <t>911108-1865918</t>
    <phoneticPr fontId="6" type="noConversion"/>
  </si>
  <si>
    <t>010-2062-0320</t>
    <phoneticPr fontId="6" type="noConversion"/>
  </si>
  <si>
    <t>110-315-619101</t>
    <phoneticPr fontId="6" type="noConversion"/>
  </si>
  <si>
    <t>22-10-01</t>
    <phoneticPr fontId="6" type="noConversion"/>
  </si>
  <si>
    <t>전원섭</t>
    <phoneticPr fontId="6" type="noConversion"/>
  </si>
  <si>
    <t>770223-1395131</t>
    <phoneticPr fontId="6" type="noConversion"/>
  </si>
  <si>
    <t>010-9898-1447</t>
    <phoneticPr fontId="6" type="noConversion"/>
  </si>
  <si>
    <t>356-0532-9442-53</t>
    <phoneticPr fontId="6" type="noConversion"/>
  </si>
  <si>
    <t>22-11-10</t>
    <phoneticPr fontId="6" type="noConversion"/>
  </si>
  <si>
    <t>DIALLO AMADOU ROY</t>
    <phoneticPr fontId="6" type="noConversion"/>
  </si>
  <si>
    <t>미가입</t>
    <phoneticPr fontId="6" type="noConversion"/>
  </si>
  <si>
    <t>941008-5780018</t>
    <phoneticPr fontId="6" type="noConversion"/>
  </si>
  <si>
    <t>010-9752-9448</t>
    <phoneticPr fontId="6" type="noConversion"/>
  </si>
  <si>
    <t>9003-2853-6040-1</t>
    <phoneticPr fontId="6" type="noConversion"/>
  </si>
  <si>
    <t>새마을</t>
    <phoneticPr fontId="6" type="noConversion"/>
  </si>
  <si>
    <t>25-02-04</t>
    <phoneticPr fontId="6" type="noConversion"/>
  </si>
  <si>
    <t>임승윤</t>
    <phoneticPr fontId="6" type="noConversion"/>
  </si>
  <si>
    <t>911025-1199516</t>
    <phoneticPr fontId="6" type="noConversion"/>
  </si>
  <si>
    <t>010-6469-1003</t>
    <phoneticPr fontId="6" type="noConversion"/>
  </si>
  <si>
    <t>1000-2685-6710</t>
    <phoneticPr fontId="6" type="noConversion"/>
  </si>
  <si>
    <t>토스
뱅크</t>
    <phoneticPr fontId="6" type="noConversion"/>
  </si>
  <si>
    <t>25-08-04</t>
    <phoneticPr fontId="6" type="noConversion"/>
  </si>
  <si>
    <t>김지성</t>
    <phoneticPr fontId="6" type="noConversion"/>
  </si>
  <si>
    <t>890102-1199521</t>
    <phoneticPr fontId="6" type="noConversion"/>
  </si>
  <si>
    <t>010-6754-9779</t>
    <phoneticPr fontId="6" type="noConversion"/>
  </si>
  <si>
    <t>1002-165-667905</t>
    <phoneticPr fontId="6" type="noConversion"/>
  </si>
  <si>
    <t>AIDYNGALIYEV ANS-AR</t>
    <phoneticPr fontId="6" type="noConversion"/>
  </si>
  <si>
    <t>가입
(24.09.22)</t>
    <phoneticPr fontId="6" type="noConversion"/>
  </si>
  <si>
    <t>040617-7760047</t>
    <phoneticPr fontId="6" type="noConversion"/>
  </si>
  <si>
    <t>010-2199-1707</t>
    <phoneticPr fontId="6" type="noConversion"/>
  </si>
  <si>
    <t>494-910934-01907</t>
    <phoneticPr fontId="6" type="noConversion"/>
  </si>
  <si>
    <t>25-09-06</t>
    <phoneticPr fontId="6" type="noConversion"/>
  </si>
  <si>
    <t>확인</t>
    <phoneticPr fontId="6" type="noConversion"/>
  </si>
  <si>
    <t>김두리</t>
    <phoneticPr fontId="6" type="noConversion"/>
  </si>
  <si>
    <t>가입
(25.10.16)</t>
    <phoneticPr fontId="6" type="noConversion"/>
  </si>
  <si>
    <t>920602-1248011</t>
    <phoneticPr fontId="6" type="noConversion"/>
  </si>
  <si>
    <t>010-7214-0968</t>
    <phoneticPr fontId="6" type="noConversion"/>
  </si>
  <si>
    <t>494-910968-86207</t>
    <phoneticPr fontId="6" type="noConversion"/>
  </si>
  <si>
    <t>25-10-16</t>
    <phoneticPr fontId="6" type="noConversion"/>
  </si>
  <si>
    <t>유민호</t>
    <phoneticPr fontId="6" type="noConversion"/>
  </si>
  <si>
    <t>950828-1224116</t>
    <phoneticPr fontId="6" type="noConversion"/>
  </si>
  <si>
    <t>010-5641-2790</t>
    <phoneticPr fontId="6" type="noConversion"/>
  </si>
  <si>
    <t>352-1904-0957-53
(곽명숙)</t>
    <phoneticPr fontId="6" type="noConversion"/>
  </si>
  <si>
    <t>25-12-01</t>
    <phoneticPr fontId="6" type="noConversion"/>
  </si>
  <si>
    <t>이덕형</t>
    <phoneticPr fontId="6" type="noConversion"/>
  </si>
  <si>
    <t>870316-1260715</t>
    <phoneticPr fontId="6" type="noConversion"/>
  </si>
  <si>
    <t>010-7928-8100</t>
    <phoneticPr fontId="6" type="noConversion"/>
  </si>
  <si>
    <t>110-513-442309</t>
    <phoneticPr fontId="6" type="noConversion"/>
  </si>
  <si>
    <t>홍진태</t>
    <phoneticPr fontId="6" type="noConversion"/>
  </si>
  <si>
    <t>890925-1170111</t>
    <phoneticPr fontId="6" type="noConversion"/>
  </si>
  <si>
    <t>010-8329-6118</t>
    <phoneticPr fontId="6" type="noConversion"/>
  </si>
  <si>
    <t>3333-08-1264297</t>
    <phoneticPr fontId="6" type="noConversion"/>
  </si>
  <si>
    <t>23-02-22</t>
    <phoneticPr fontId="6" type="noConversion"/>
  </si>
  <si>
    <t>조미선</t>
    <phoneticPr fontId="6" type="noConversion"/>
  </si>
  <si>
    <t>880227-2247915</t>
    <phoneticPr fontId="6" type="noConversion"/>
  </si>
  <si>
    <t>010-2221-0021</t>
    <phoneticPr fontId="6" type="noConversion"/>
  </si>
  <si>
    <t>3333-18-9864494</t>
    <phoneticPr fontId="6" type="noConversion"/>
  </si>
  <si>
    <t>25-08-28</t>
    <phoneticPr fontId="6" type="noConversion"/>
  </si>
  <si>
    <t>이혜림</t>
    <phoneticPr fontId="6" type="noConversion"/>
  </si>
  <si>
    <t>810915-2560313</t>
    <phoneticPr fontId="6" type="noConversion"/>
  </si>
  <si>
    <t>010-4910-1524</t>
    <phoneticPr fontId="6" type="noConversion"/>
  </si>
  <si>
    <t>901-04-397636</t>
    <phoneticPr fontId="6" type="noConversion"/>
  </si>
  <si>
    <t>25-03-24</t>
    <phoneticPr fontId="6" type="noConversion"/>
  </si>
  <si>
    <t>김은미</t>
    <phoneticPr fontId="6" type="noConversion"/>
  </si>
  <si>
    <t>가입
(26.01.20)</t>
    <phoneticPr fontId="6" type="noConversion"/>
  </si>
  <si>
    <t>810401-2251311</t>
    <phoneticPr fontId="6" type="noConversion"/>
  </si>
  <si>
    <t>010-3897-4789</t>
    <phoneticPr fontId="6" type="noConversion"/>
  </si>
  <si>
    <t>192-02-171562</t>
    <phoneticPr fontId="6" type="noConversion"/>
  </si>
  <si>
    <t>26-01-20</t>
    <phoneticPr fontId="6" type="noConversion"/>
  </si>
  <si>
    <t>장예찬</t>
    <phoneticPr fontId="6" type="noConversion"/>
  </si>
  <si>
    <t>910722-1901317</t>
    <phoneticPr fontId="6" type="noConversion"/>
  </si>
  <si>
    <t>010-2980-1175</t>
    <phoneticPr fontId="6" type="noConversion"/>
  </si>
  <si>
    <t>352-1934-5453-43</t>
    <phoneticPr fontId="6" type="noConversion"/>
  </si>
  <si>
    <t>23-04-05</t>
    <phoneticPr fontId="6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</si>
  <si>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6" type="noConversion"/>
  </si>
  <si>
    <t>구교익</t>
    <phoneticPr fontId="6" type="noConversion"/>
  </si>
  <si>
    <t>890704-1052819</t>
    <phoneticPr fontId="6" type="noConversion"/>
  </si>
  <si>
    <t>010-9380-5747</t>
    <phoneticPr fontId="6" type="noConversion"/>
  </si>
  <si>
    <t>302-9380-5747-81</t>
    <phoneticPr fontId="6" type="noConversion"/>
  </si>
  <si>
    <t>24-01-25</t>
    <phoneticPr fontId="6" type="noConversion"/>
  </si>
  <si>
    <t>김태기</t>
    <phoneticPr fontId="6" type="noConversion"/>
  </si>
  <si>
    <t>880409-1247111</t>
    <phoneticPr fontId="6" type="noConversion"/>
  </si>
  <si>
    <t>010-9060-7256</t>
    <phoneticPr fontId="6" type="noConversion"/>
  </si>
  <si>
    <t>1002-657-263502</t>
    <phoneticPr fontId="6" type="noConversion"/>
  </si>
  <si>
    <t>24-10-22</t>
    <phoneticPr fontId="6" type="noConversion"/>
  </si>
  <si>
    <t>유영효</t>
    <phoneticPr fontId="6" type="noConversion"/>
  </si>
  <si>
    <t>910605-1796213</t>
    <phoneticPr fontId="6" type="noConversion"/>
  </si>
  <si>
    <t>010-9205-8664</t>
    <phoneticPr fontId="6" type="noConversion"/>
  </si>
  <si>
    <t>25-02-24</t>
    <phoneticPr fontId="6" type="noConversion"/>
  </si>
  <si>
    <t>손현표</t>
    <phoneticPr fontId="6" type="noConversion"/>
  </si>
  <si>
    <t>010805-3357416</t>
    <phoneticPr fontId="6" type="noConversion"/>
  </si>
  <si>
    <t>010-2370-0875</t>
    <phoneticPr fontId="6" type="noConversion"/>
  </si>
  <si>
    <t>9002-2062-2312-3</t>
    <phoneticPr fontId="6" type="noConversion"/>
  </si>
  <si>
    <t>25-11-10</t>
    <phoneticPr fontId="6" type="noConversion"/>
  </si>
  <si>
    <t>남선우</t>
    <phoneticPr fontId="6" type="noConversion"/>
  </si>
  <si>
    <t>831122-1224419</t>
    <phoneticPr fontId="6" type="noConversion"/>
  </si>
  <si>
    <t>010-3440-9547</t>
    <phoneticPr fontId="6" type="noConversion"/>
  </si>
  <si>
    <t>230102-04-428269</t>
    <phoneticPr fontId="6" type="noConversion"/>
  </si>
  <si>
    <t>25-12-07</t>
    <phoneticPr fontId="6" type="noConversion"/>
  </si>
  <si>
    <t>이한샘</t>
    <phoneticPr fontId="6" type="noConversion"/>
  </si>
  <si>
    <t>가입
(25.11.01)</t>
    <phoneticPr fontId="6" type="noConversion"/>
  </si>
  <si>
    <t>991011-1056711</t>
    <phoneticPr fontId="6" type="noConversion"/>
  </si>
  <si>
    <t>010-2911-1242</t>
    <phoneticPr fontId="6" type="noConversion"/>
  </si>
  <si>
    <t>975-035302-01-013</t>
    <phoneticPr fontId="6" type="noConversion"/>
  </si>
  <si>
    <t>23-10-09</t>
    <phoneticPr fontId="6" type="noConversion"/>
  </si>
  <si>
    <t>김제광</t>
    <phoneticPr fontId="6" type="noConversion"/>
  </si>
  <si>
    <t>가입
(24.08.01)</t>
    <phoneticPr fontId="6" type="noConversion"/>
  </si>
  <si>
    <t>920122-1168039</t>
    <phoneticPr fontId="6" type="noConversion"/>
  </si>
  <si>
    <t>010-2395-6716</t>
    <phoneticPr fontId="6" type="noConversion"/>
  </si>
  <si>
    <t>113-129528-01012</t>
    <phoneticPr fontId="6" type="noConversion"/>
  </si>
  <si>
    <t>24-07-15</t>
    <phoneticPr fontId="6" type="noConversion"/>
  </si>
  <si>
    <t>한소라</t>
    <phoneticPr fontId="6" type="noConversion"/>
  </si>
  <si>
    <t>가입
(25.06.16)</t>
    <phoneticPr fontId="6" type="noConversion"/>
  </si>
  <si>
    <t>830402-2623615</t>
    <phoneticPr fontId="6" type="noConversion"/>
  </si>
  <si>
    <t>010-7428-5655</t>
    <phoneticPr fontId="6" type="noConversion"/>
  </si>
  <si>
    <t>110-543-591924</t>
    <phoneticPr fontId="6" type="noConversion"/>
  </si>
  <si>
    <t>25-06-16</t>
    <phoneticPr fontId="6" type="noConversion"/>
  </si>
  <si>
    <t>소속회사</t>
    <phoneticPr fontId="3" type="noConversion"/>
  </si>
  <si>
    <t>태경홀딩스</t>
  </si>
  <si>
    <t>태경홀딩스</t>
    <phoneticPr fontId="3" type="noConversion"/>
  </si>
  <si>
    <t>직무</t>
    <phoneticPr fontId="3" type="noConversion"/>
  </si>
  <si>
    <t>피커</t>
  </si>
  <si>
    <t>피커</t>
    <phoneticPr fontId="3" type="noConversion"/>
  </si>
  <si>
    <t>지게차</t>
  </si>
  <si>
    <t>지게차</t>
    <phoneticPr fontId="3" type="noConversion"/>
  </si>
  <si>
    <t>지게차(야간)</t>
  </si>
  <si>
    <t>지게차(야간)</t>
    <phoneticPr fontId="3" type="noConversion"/>
  </si>
  <si>
    <t>직책</t>
    <phoneticPr fontId="3" type="noConversion"/>
  </si>
  <si>
    <t>반장</t>
    <phoneticPr fontId="3" type="noConversion"/>
  </si>
  <si>
    <t>포장</t>
    <phoneticPr fontId="3" type="noConversion"/>
  </si>
  <si>
    <t>검수</t>
    <phoneticPr fontId="3" type="noConversion"/>
  </si>
  <si>
    <t>상/저온</t>
    <phoneticPr fontId="3" type="noConversion"/>
  </si>
  <si>
    <t>상온</t>
  </si>
  <si>
    <t>상온</t>
    <phoneticPr fontId="3" type="noConversion"/>
  </si>
  <si>
    <t>저온</t>
    <phoneticPr fontId="3" type="noConversion"/>
  </si>
  <si>
    <t>사무</t>
    <phoneticPr fontId="3" type="noConversion"/>
  </si>
  <si>
    <t>사업장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</si>
</sst>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_);[Red]\(0\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36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2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8"/>
      <color rgb="FF00000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0000FF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rgb="FF00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b/>
      <sz val="1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1" fillId="0" borderId="0"/>
  </cellStyleXfs>
  <cellXfs count="3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2" fillId="0" borderId="2" xfId="0" applyFont="1" applyBorder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8" fillId="2" borderId="3" xfId="1" applyFont="1" applyBorder="1" applyAlignment="1">
      <alignment horizontal="center" vertical="center"/>
    </xf>
    <xf numFmtId="0" fontId="8" fillId="2" borderId="4" xfId="1" applyFont="1" applyBorder="1" applyAlignment="1">
      <alignment horizontal="center" vertical="center"/>
    </xf>
    <xf numFmtId="0" fontId="8" fillId="2" borderId="4" xfId="1" applyFont="1" applyBorder="1" applyAlignment="1">
      <alignment horizontal="center" vertical="center" wrapText="1"/>
    </xf>
    <xf numFmtId="0" fontId="9" fillId="2" borderId="4" xfId="1" applyFont="1" applyBorder="1" applyAlignment="1">
      <alignment horizontal="center" vertical="center" wrapText="1"/>
    </xf>
    <xf numFmtId="0" fontId="10" fillId="2" borderId="5" xfId="1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49" fontId="13" fillId="0" borderId="4" xfId="0" applyNumberFormat="1" applyFont="1" applyBorder="1" applyAlignment="1">
      <alignment horizontal="center" vertical="center" shrinkToFit="1"/>
    </xf>
    <xf numFmtId="176" fontId="12" fillId="0" borderId="4" xfId="0" applyNumberFormat="1" applyFont="1" applyBorder="1" applyAlignment="1">
      <alignment horizontal="center" vertical="center"/>
    </xf>
    <xf numFmtId="177" fontId="12" fillId="0" borderId="4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/>
    </xf>
    <xf numFmtId="14" fontId="12" fillId="0" borderId="4" xfId="0" applyNumberFormat="1" applyFont="1" applyBorder="1" applyAlignment="1">
      <alignment horizontal="center" vertical="center" shrinkToFit="1"/>
    </xf>
    <xf numFmtId="14" fontId="13" fillId="0" borderId="5" xfId="0" applyNumberFormat="1" applyFont="1" applyBorder="1" applyAlignment="1">
      <alignment horizontal="center" vertical="center" shrinkToFit="1"/>
    </xf>
    <xf numFmtId="0" fontId="12" fillId="0" borderId="6" xfId="2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49" fontId="14" fillId="0" borderId="2" xfId="0" applyNumberFormat="1" applyFont="1" applyBorder="1" applyAlignment="1">
      <alignment horizontal="center" vertical="center" wrapText="1" shrinkToFit="1"/>
    </xf>
    <xf numFmtId="176" fontId="12" fillId="0" borderId="2" xfId="0" applyNumberFormat="1" applyFont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49" fontId="12" fillId="0" borderId="2" xfId="0" applyNumberFormat="1" applyFont="1" applyBorder="1" applyAlignment="1">
      <alignment horizontal="center" vertical="center"/>
    </xf>
    <xf numFmtId="14" fontId="12" fillId="0" borderId="2" xfId="0" applyNumberFormat="1" applyFont="1" applyBorder="1" applyAlignment="1">
      <alignment horizontal="center" vertical="center" shrinkToFit="1"/>
    </xf>
    <xf numFmtId="14" fontId="13" fillId="0" borderId="7" xfId="0" applyNumberFormat="1" applyFont="1" applyBorder="1" applyAlignment="1">
      <alignment horizontal="center" vertical="center" shrinkToFit="1"/>
    </xf>
    <xf numFmtId="0" fontId="12" fillId="0" borderId="2" xfId="0" applyFont="1" applyBorder="1" applyAlignment="1">
      <alignment horizontal="center" vertical="center" wrapText="1"/>
    </xf>
    <xf numFmtId="49" fontId="13" fillId="0" borderId="2" xfId="0" applyNumberFormat="1" applyFont="1" applyBorder="1" applyAlignment="1">
      <alignment horizontal="center" vertical="center" shrinkToFit="1"/>
    </xf>
    <xf numFmtId="14" fontId="13" fillId="0" borderId="8" xfId="0" applyNumberFormat="1" applyFont="1" applyBorder="1" applyAlignment="1">
      <alignment horizontal="center" vertical="center" shrinkToFi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/>
    </xf>
  </cellXfs>
  <cellStyles count="3">
    <cellStyle name="강조색1" xfId="1" builtinId="29"/>
    <cellStyle name="표준" xfId="0" builtinId="0"/>
    <cellStyle name="표준_Sheet1" xfId="2" xr:uid="{18F05545-4F4C-47AE-A7A6-4639DDA89CA9}"/>
  </cellStyles>
  <dxfs count="16"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  <dxf>
      <font>
        <b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3EB17-CA81-4A51-9D94-80704266FEF1}">
  <dimension ref="A1:S52"/>
  <sheetViews>
    <sheetView tabSelected="1" topLeftCell="A13" zoomScale="115" zoomScaleNormal="115" workbookViewId="0">
      <selection activeCell="M38" sqref="M38"/>
    </sheetView>
  </sheetViews>
  <sheetFormatPr defaultColWidth="3.125" defaultRowHeight="20.100000000000001" customHeight="1" x14ac:dyDescent="0.3"/>
  <cols>
    <col min="1" max="1" width="6.125" style="4" customWidth="1"/>
    <col min="2" max="2" width="16.375" style="4" customWidth="1"/>
    <col min="3" max="5" width="10.75" style="4" customWidth="1"/>
    <col min="6" max="6" width="13" style="4" customWidth="1"/>
    <col min="7" max="7" width="10.75" style="4" customWidth="1"/>
    <col min="8" max="8" width="15" style="4" customWidth="1"/>
    <col min="9" max="9" width="7.375" style="4" customWidth="1"/>
    <col min="10" max="10" width="5.625" style="4" customWidth="1"/>
    <col min="11" max="11" width="17.375" style="4" customWidth="1"/>
    <col min="12" max="12" width="5.875" style="4" customWidth="1"/>
    <col min="13" max="13" width="45.125" style="4" customWidth="1"/>
    <col min="14" max="14" width="18.125" style="4" customWidth="1"/>
    <col min="15" max="15" width="20.25" style="4" customWidth="1"/>
    <col min="16" max="16" width="8.75" style="4" customWidth="1"/>
    <col min="17" max="17" width="13.25" style="4" customWidth="1"/>
    <col min="18" max="18" width="12.25" style="4" customWidth="1"/>
    <col min="19" max="19" width="11.25" style="4" customWidth="1"/>
    <col min="20" max="16384" width="3.125" style="4"/>
  </cols>
  <sheetData>
    <row r="1" spans="1:19" ht="17.25" x14ac:dyDescent="0.3">
      <c r="A1" s="1" t="s">
        <v>166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3" t="s">
        <v>0</v>
      </c>
      <c r="R1" s="3" t="s">
        <v>1</v>
      </c>
      <c r="S1" s="3" t="s">
        <v>2</v>
      </c>
    </row>
    <row r="2" spans="1:19" ht="5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5"/>
      <c r="R2" s="5"/>
      <c r="S2" s="5"/>
    </row>
    <row r="3" spans="1:19" ht="27" thickBot="1" x14ac:dyDescent="0.35">
      <c r="A3" s="6" t="s">
        <v>3</v>
      </c>
      <c r="B3" s="6"/>
      <c r="C3" s="6"/>
      <c r="D3" s="6"/>
      <c r="E3" s="6"/>
      <c r="F3" s="6"/>
      <c r="G3" s="6"/>
      <c r="H3" s="6"/>
      <c r="I3" s="7"/>
      <c r="J3" s="8"/>
      <c r="K3" s="8"/>
      <c r="L3" s="8"/>
      <c r="M3" s="8"/>
      <c r="N3" s="8"/>
      <c r="O3" s="8"/>
      <c r="P3" s="8"/>
      <c r="Q3" s="8"/>
      <c r="R3" s="8"/>
      <c r="S3" s="8"/>
    </row>
    <row r="4" spans="1:19" ht="17.25" thickBot="1" x14ac:dyDescent="0.35">
      <c r="A4" s="9" t="s">
        <v>4</v>
      </c>
      <c r="B4" s="10" t="s">
        <v>5</v>
      </c>
      <c r="C4" s="10" t="s">
        <v>301</v>
      </c>
      <c r="D4" s="10" t="s">
        <v>315</v>
      </c>
      <c r="E4" s="10" t="s">
        <v>311</v>
      </c>
      <c r="F4" s="10" t="s">
        <v>304</v>
      </c>
      <c r="G4" s="10" t="s">
        <v>320</v>
      </c>
      <c r="H4" s="10" t="s">
        <v>6</v>
      </c>
      <c r="I4" s="10" t="s">
        <v>7</v>
      </c>
      <c r="J4" s="10" t="s">
        <v>8</v>
      </c>
      <c r="K4" s="11" t="s">
        <v>9</v>
      </c>
      <c r="L4" s="10" t="s">
        <v>10</v>
      </c>
      <c r="M4" s="11" t="s">
        <v>11</v>
      </c>
      <c r="N4" s="11" t="s">
        <v>12</v>
      </c>
      <c r="O4" s="11" t="s">
        <v>13</v>
      </c>
      <c r="P4" s="11" t="s">
        <v>14</v>
      </c>
      <c r="Q4" s="11" t="s">
        <v>15</v>
      </c>
      <c r="R4" s="12" t="s">
        <v>16</v>
      </c>
      <c r="S4" s="13" t="s">
        <v>17</v>
      </c>
    </row>
    <row r="5" spans="1:19" ht="13.5" x14ac:dyDescent="0.3">
      <c r="A5" s="14">
        <v>1</v>
      </c>
      <c r="B5" s="15" t="s">
        <v>18</v>
      </c>
      <c r="C5" s="15" t="s">
        <v>303</v>
      </c>
      <c r="D5" s="15" t="s">
        <v>317</v>
      </c>
      <c r="E5" s="15"/>
      <c r="F5" s="15" t="s">
        <v>306</v>
      </c>
      <c r="G5" s="15" t="s">
        <v>168</v>
      </c>
      <c r="H5" s="16" t="s">
        <v>19</v>
      </c>
      <c r="I5" s="17">
        <v>300</v>
      </c>
      <c r="J5" s="15" t="s">
        <v>20</v>
      </c>
      <c r="K5" s="15" t="s">
        <v>21</v>
      </c>
      <c r="L5" s="18">
        <f t="shared" ref="L5:L28" ca="1" si="0">IF(OR(MID(K5,8,1)="3",MID(K5,8,1)="4"),YEAR(TODAY())-(2000+LEFT(K5,2)),YEAR(TODAY())-(1900+LEFT(K5,2)))+1</f>
        <v>47</v>
      </c>
      <c r="M5" s="15" t="s">
        <v>22</v>
      </c>
      <c r="N5" s="15" t="s">
        <v>23</v>
      </c>
      <c r="O5" s="15" t="s">
        <v>24</v>
      </c>
      <c r="P5" s="15" t="s">
        <v>25</v>
      </c>
      <c r="Q5" s="19" t="s">
        <v>26</v>
      </c>
      <c r="R5" s="20" t="str">
        <f t="shared" ref="R5:R28" ca="1" si="1">DATEDIF(Q5,TODAY(),"Y")&amp;"년"&amp;DATEDIF(Q5,TODAY(),"YM")&amp;"월"&amp;DATEDIF(Q5,TODAY(),"MD")&amp;"일"</f>
        <v>2년9월24일</v>
      </c>
      <c r="S5" s="21"/>
    </row>
    <row r="6" spans="1:19" ht="27" x14ac:dyDescent="0.3">
      <c r="A6" s="22">
        <v>2</v>
      </c>
      <c r="B6" s="23" t="s">
        <v>27</v>
      </c>
      <c r="C6" s="23" t="s">
        <v>302</v>
      </c>
      <c r="D6" s="23" t="s">
        <v>316</v>
      </c>
      <c r="E6" s="23"/>
      <c r="F6" s="23" t="s">
        <v>305</v>
      </c>
      <c r="G6" s="23" t="s">
        <v>167</v>
      </c>
      <c r="H6" s="24" t="s">
        <v>28</v>
      </c>
      <c r="I6" s="25">
        <v>350</v>
      </c>
      <c r="J6" s="23" t="s">
        <v>29</v>
      </c>
      <c r="K6" s="23" t="s">
        <v>30</v>
      </c>
      <c r="L6" s="26">
        <f t="shared" ca="1" si="0"/>
        <v>50</v>
      </c>
      <c r="M6" s="23" t="s">
        <v>22</v>
      </c>
      <c r="N6" s="23" t="s">
        <v>31</v>
      </c>
      <c r="O6" s="23" t="s">
        <v>32</v>
      </c>
      <c r="P6" s="27" t="s">
        <v>33</v>
      </c>
      <c r="Q6" s="28" t="s">
        <v>34</v>
      </c>
      <c r="R6" s="29" t="str">
        <f t="shared" ca="1" si="1"/>
        <v>4년3월24일</v>
      </c>
      <c r="S6" s="30"/>
    </row>
    <row r="7" spans="1:19" ht="27" x14ac:dyDescent="0.3">
      <c r="A7" s="22">
        <v>3</v>
      </c>
      <c r="B7" s="31" t="s">
        <v>35</v>
      </c>
      <c r="C7" s="31" t="s">
        <v>302</v>
      </c>
      <c r="D7" s="31" t="s">
        <v>316</v>
      </c>
      <c r="E7" s="31"/>
      <c r="F7" s="31" t="s">
        <v>305</v>
      </c>
      <c r="G7" s="31" t="s">
        <v>167</v>
      </c>
      <c r="H7" s="32" t="s">
        <v>19</v>
      </c>
      <c r="I7" s="25">
        <v>260</v>
      </c>
      <c r="J7" s="23" t="s">
        <v>36</v>
      </c>
      <c r="K7" s="23" t="s">
        <v>37</v>
      </c>
      <c r="L7" s="26">
        <f t="shared" ca="1" si="0"/>
        <v>35</v>
      </c>
      <c r="M7" s="23" t="s">
        <v>22</v>
      </c>
      <c r="N7" s="23" t="s">
        <v>38</v>
      </c>
      <c r="O7" s="23" t="s">
        <v>39</v>
      </c>
      <c r="P7" s="27" t="s">
        <v>40</v>
      </c>
      <c r="Q7" s="28" t="s">
        <v>41</v>
      </c>
      <c r="R7" s="29" t="str">
        <f t="shared" ca="1" si="1"/>
        <v>3년2월20일</v>
      </c>
      <c r="S7" s="30"/>
    </row>
    <row r="8" spans="1:19" ht="27" x14ac:dyDescent="0.3">
      <c r="A8" s="22">
        <v>4</v>
      </c>
      <c r="B8" s="23" t="s">
        <v>42</v>
      </c>
      <c r="C8" s="23" t="s">
        <v>302</v>
      </c>
      <c r="D8" s="23" t="s">
        <v>316</v>
      </c>
      <c r="E8" s="23"/>
      <c r="F8" s="23" t="s">
        <v>305</v>
      </c>
      <c r="G8" s="23" t="s">
        <v>167</v>
      </c>
      <c r="H8" s="24" t="s">
        <v>43</v>
      </c>
      <c r="I8" s="25">
        <v>260</v>
      </c>
      <c r="J8" s="23" t="s">
        <v>44</v>
      </c>
      <c r="K8" s="23" t="s">
        <v>45</v>
      </c>
      <c r="L8" s="26">
        <f t="shared" ca="1" si="0"/>
        <v>44</v>
      </c>
      <c r="M8" s="23" t="s">
        <v>22</v>
      </c>
      <c r="N8" s="23" t="s">
        <v>46</v>
      </c>
      <c r="O8" s="23" t="s">
        <v>47</v>
      </c>
      <c r="P8" s="27" t="s">
        <v>48</v>
      </c>
      <c r="Q8" s="28" t="s">
        <v>49</v>
      </c>
      <c r="R8" s="29" t="str">
        <f t="shared" ca="1" si="1"/>
        <v>2년11월5일</v>
      </c>
      <c r="S8" s="33"/>
    </row>
    <row r="9" spans="1:19" ht="27" x14ac:dyDescent="0.3">
      <c r="A9" s="22">
        <v>5</v>
      </c>
      <c r="B9" s="23" t="s">
        <v>50</v>
      </c>
      <c r="C9" s="23" t="s">
        <v>302</v>
      </c>
      <c r="D9" s="23" t="s">
        <v>316</v>
      </c>
      <c r="E9" s="23"/>
      <c r="F9" s="23" t="s">
        <v>305</v>
      </c>
      <c r="G9" s="23" t="s">
        <v>167</v>
      </c>
      <c r="H9" s="24" t="s">
        <v>51</v>
      </c>
      <c r="I9" s="25">
        <v>260</v>
      </c>
      <c r="J9" s="23" t="s">
        <v>44</v>
      </c>
      <c r="K9" s="23" t="s">
        <v>52</v>
      </c>
      <c r="L9" s="26">
        <f t="shared" ca="1" si="0"/>
        <v>48</v>
      </c>
      <c r="M9" s="23" t="s">
        <v>22</v>
      </c>
      <c r="N9" s="23" t="s">
        <v>53</v>
      </c>
      <c r="O9" s="23" t="s">
        <v>54</v>
      </c>
      <c r="P9" s="27" t="s">
        <v>55</v>
      </c>
      <c r="Q9" s="28" t="s">
        <v>49</v>
      </c>
      <c r="R9" s="29" t="str">
        <f t="shared" ca="1" si="1"/>
        <v>2년11월5일</v>
      </c>
      <c r="S9" s="30"/>
    </row>
    <row r="10" spans="1:19" ht="27" x14ac:dyDescent="0.3">
      <c r="A10" s="22">
        <v>6</v>
      </c>
      <c r="B10" s="23" t="s">
        <v>56</v>
      </c>
      <c r="C10" s="23" t="s">
        <v>302</v>
      </c>
      <c r="D10" s="23" t="s">
        <v>316</v>
      </c>
      <c r="E10" s="23"/>
      <c r="F10" s="23" t="s">
        <v>305</v>
      </c>
      <c r="G10" s="23" t="s">
        <v>167</v>
      </c>
      <c r="H10" s="24" t="s">
        <v>51</v>
      </c>
      <c r="I10" s="25">
        <v>260</v>
      </c>
      <c r="J10" s="23" t="s">
        <v>44</v>
      </c>
      <c r="K10" s="23" t="s">
        <v>57</v>
      </c>
      <c r="L10" s="26">
        <f t="shared" ca="1" si="0"/>
        <v>38</v>
      </c>
      <c r="M10" s="23" t="s">
        <v>22</v>
      </c>
      <c r="N10" s="23" t="s">
        <v>58</v>
      </c>
      <c r="O10" s="23" t="s">
        <v>59</v>
      </c>
      <c r="P10" s="27" t="s">
        <v>60</v>
      </c>
      <c r="Q10" s="28" t="s">
        <v>61</v>
      </c>
      <c r="R10" s="29" t="str">
        <f t="shared" ca="1" si="1"/>
        <v>2년10월13일</v>
      </c>
      <c r="S10" s="30"/>
    </row>
    <row r="11" spans="1:19" ht="27" x14ac:dyDescent="0.3">
      <c r="A11" s="22">
        <v>7</v>
      </c>
      <c r="B11" s="23" t="s">
        <v>62</v>
      </c>
      <c r="C11" s="23" t="s">
        <v>302</v>
      </c>
      <c r="D11" s="23" t="s">
        <v>316</v>
      </c>
      <c r="E11" s="23"/>
      <c r="F11" s="23" t="s">
        <v>305</v>
      </c>
      <c r="G11" s="23" t="s">
        <v>167</v>
      </c>
      <c r="H11" s="24" t="s">
        <v>51</v>
      </c>
      <c r="I11" s="25">
        <v>260</v>
      </c>
      <c r="J11" s="23" t="s">
        <v>44</v>
      </c>
      <c r="K11" s="23" t="s">
        <v>63</v>
      </c>
      <c r="L11" s="26">
        <f t="shared" ca="1" si="0"/>
        <v>62</v>
      </c>
      <c r="M11" s="23" t="s">
        <v>22</v>
      </c>
      <c r="N11" s="23" t="s">
        <v>64</v>
      </c>
      <c r="O11" s="23" t="s">
        <v>65</v>
      </c>
      <c r="P11" s="27" t="s">
        <v>66</v>
      </c>
      <c r="Q11" s="28" t="s">
        <v>67</v>
      </c>
      <c r="R11" s="29" t="str">
        <f t="shared" ca="1" si="1"/>
        <v>2년10월8일</v>
      </c>
      <c r="S11" s="30"/>
    </row>
    <row r="12" spans="1:19" ht="33.75" x14ac:dyDescent="0.3">
      <c r="A12" s="22">
        <v>8</v>
      </c>
      <c r="B12" s="23" t="s">
        <v>68</v>
      </c>
      <c r="C12" s="23" t="s">
        <v>302</v>
      </c>
      <c r="D12" s="23" t="s">
        <v>316</v>
      </c>
      <c r="E12" s="23"/>
      <c r="F12" s="23" t="s">
        <v>305</v>
      </c>
      <c r="G12" s="23" t="s">
        <v>167</v>
      </c>
      <c r="H12" s="32" t="s">
        <v>19</v>
      </c>
      <c r="I12" s="25">
        <v>260</v>
      </c>
      <c r="J12" s="23" t="s">
        <v>20</v>
      </c>
      <c r="K12" s="23" t="s">
        <v>69</v>
      </c>
      <c r="L12" s="26">
        <f t="shared" ca="1" si="0"/>
        <v>39</v>
      </c>
      <c r="M12" s="23" t="s">
        <v>70</v>
      </c>
      <c r="N12" s="23" t="s">
        <v>71</v>
      </c>
      <c r="O12" s="23" t="s">
        <v>72</v>
      </c>
      <c r="P12" s="34" t="s">
        <v>73</v>
      </c>
      <c r="Q12" s="28" t="s">
        <v>74</v>
      </c>
      <c r="R12" s="29" t="str">
        <f t="shared" ca="1" si="1"/>
        <v>2년8월24일</v>
      </c>
      <c r="S12" s="30"/>
    </row>
    <row r="13" spans="1:19" ht="27" x14ac:dyDescent="0.3">
      <c r="A13" s="22">
        <v>9</v>
      </c>
      <c r="B13" s="23" t="s">
        <v>75</v>
      </c>
      <c r="C13" s="23" t="s">
        <v>302</v>
      </c>
      <c r="D13" s="23" t="s">
        <v>316</v>
      </c>
      <c r="E13" s="23"/>
      <c r="F13" s="23" t="s">
        <v>305</v>
      </c>
      <c r="G13" s="23" t="s">
        <v>167</v>
      </c>
      <c r="H13" s="24" t="s">
        <v>76</v>
      </c>
      <c r="I13" s="25">
        <v>260</v>
      </c>
      <c r="J13" s="23" t="s">
        <v>36</v>
      </c>
      <c r="K13" s="23" t="s">
        <v>77</v>
      </c>
      <c r="L13" s="26">
        <f t="shared" ca="1" si="0"/>
        <v>62</v>
      </c>
      <c r="M13" s="23" t="s">
        <v>70</v>
      </c>
      <c r="N13" s="23" t="s">
        <v>78</v>
      </c>
      <c r="O13" s="23" t="s">
        <v>79</v>
      </c>
      <c r="P13" s="27" t="s">
        <v>80</v>
      </c>
      <c r="Q13" s="28" t="s">
        <v>74</v>
      </c>
      <c r="R13" s="29" t="str">
        <f t="shared" ca="1" si="1"/>
        <v>2년8월24일</v>
      </c>
      <c r="S13" s="30"/>
    </row>
    <row r="14" spans="1:19" ht="27" x14ac:dyDescent="0.3">
      <c r="A14" s="22">
        <v>10</v>
      </c>
      <c r="B14" s="23" t="s">
        <v>81</v>
      </c>
      <c r="C14" s="23" t="s">
        <v>302</v>
      </c>
      <c r="D14" s="23" t="s">
        <v>316</v>
      </c>
      <c r="E14" s="23"/>
      <c r="F14" s="23" t="s">
        <v>305</v>
      </c>
      <c r="G14" s="23" t="s">
        <v>167</v>
      </c>
      <c r="H14" s="24" t="s">
        <v>82</v>
      </c>
      <c r="I14" s="25">
        <v>260</v>
      </c>
      <c r="J14" s="23" t="s">
        <v>36</v>
      </c>
      <c r="K14" s="23" t="s">
        <v>83</v>
      </c>
      <c r="L14" s="26">
        <f t="shared" ca="1" si="0"/>
        <v>63</v>
      </c>
      <c r="M14" s="23" t="s">
        <v>22</v>
      </c>
      <c r="N14" s="23" t="s">
        <v>84</v>
      </c>
      <c r="O14" s="23" t="s">
        <v>85</v>
      </c>
      <c r="P14" s="27" t="s">
        <v>80</v>
      </c>
      <c r="Q14" s="28" t="s">
        <v>86</v>
      </c>
      <c r="R14" s="29" t="str">
        <f t="shared" ca="1" si="1"/>
        <v>2년7월30일</v>
      </c>
      <c r="S14" s="30"/>
    </row>
    <row r="15" spans="1:19" ht="13.5" x14ac:dyDescent="0.3">
      <c r="A15" s="22">
        <v>11</v>
      </c>
      <c r="B15" s="31" t="s">
        <v>87</v>
      </c>
      <c r="C15" s="31" t="s">
        <v>302</v>
      </c>
      <c r="D15" s="31" t="s">
        <v>316</v>
      </c>
      <c r="E15" s="31"/>
      <c r="F15" s="31" t="s">
        <v>305</v>
      </c>
      <c r="G15" s="31" t="s">
        <v>167</v>
      </c>
      <c r="H15" s="32" t="s">
        <v>19</v>
      </c>
      <c r="I15" s="25">
        <v>260</v>
      </c>
      <c r="J15" s="23" t="s">
        <v>36</v>
      </c>
      <c r="K15" s="23" t="s">
        <v>88</v>
      </c>
      <c r="L15" s="26">
        <f t="shared" ca="1" si="0"/>
        <v>55</v>
      </c>
      <c r="M15" s="23" t="s">
        <v>70</v>
      </c>
      <c r="N15" s="23" t="s">
        <v>89</v>
      </c>
      <c r="O15" s="35" t="s">
        <v>90</v>
      </c>
      <c r="P15" s="31" t="s">
        <v>66</v>
      </c>
      <c r="Q15" s="28" t="s">
        <v>91</v>
      </c>
      <c r="R15" s="29" t="str">
        <f t="shared" ca="1" si="1"/>
        <v>2년6월17일</v>
      </c>
      <c r="S15" s="30"/>
    </row>
    <row r="16" spans="1:19" ht="13.5" x14ac:dyDescent="0.3">
      <c r="A16" s="22">
        <v>12</v>
      </c>
      <c r="B16" s="31" t="s">
        <v>92</v>
      </c>
      <c r="C16" s="31" t="s">
        <v>302</v>
      </c>
      <c r="D16" s="31" t="s">
        <v>316</v>
      </c>
      <c r="E16" s="31"/>
      <c r="F16" s="31" t="s">
        <v>305</v>
      </c>
      <c r="G16" s="31" t="s">
        <v>167</v>
      </c>
      <c r="H16" s="32" t="s">
        <v>19</v>
      </c>
      <c r="I16" s="25">
        <v>260</v>
      </c>
      <c r="J16" s="23" t="s">
        <v>44</v>
      </c>
      <c r="K16" s="23" t="s">
        <v>93</v>
      </c>
      <c r="L16" s="26">
        <f t="shared" ca="1" si="0"/>
        <v>47</v>
      </c>
      <c r="M16" s="23" t="s">
        <v>70</v>
      </c>
      <c r="N16" s="23" t="s">
        <v>94</v>
      </c>
      <c r="O16" s="35" t="s">
        <v>95</v>
      </c>
      <c r="P16" s="31" t="s">
        <v>60</v>
      </c>
      <c r="Q16" s="28" t="s">
        <v>96</v>
      </c>
      <c r="R16" s="29" t="str">
        <f t="shared" ca="1" si="1"/>
        <v>2년3월24일</v>
      </c>
      <c r="S16" s="30"/>
    </row>
    <row r="17" spans="1:19" ht="27" x14ac:dyDescent="0.3">
      <c r="A17" s="22">
        <v>13</v>
      </c>
      <c r="B17" s="31" t="s">
        <v>97</v>
      </c>
      <c r="C17" s="31" t="s">
        <v>302</v>
      </c>
      <c r="D17" s="31" t="s">
        <v>316</v>
      </c>
      <c r="E17" s="31"/>
      <c r="F17" s="31" t="s">
        <v>305</v>
      </c>
      <c r="G17" s="31" t="s">
        <v>167</v>
      </c>
      <c r="H17" s="24" t="s">
        <v>98</v>
      </c>
      <c r="I17" s="25">
        <v>260</v>
      </c>
      <c r="J17" s="23" t="s">
        <v>44</v>
      </c>
      <c r="K17" s="23" t="s">
        <v>99</v>
      </c>
      <c r="L17" s="26">
        <f t="shared" ca="1" si="0"/>
        <v>37</v>
      </c>
      <c r="M17" s="23" t="s">
        <v>70</v>
      </c>
      <c r="N17" s="23" t="s">
        <v>100</v>
      </c>
      <c r="O17" s="35" t="s">
        <v>101</v>
      </c>
      <c r="P17" s="31" t="s">
        <v>102</v>
      </c>
      <c r="Q17" s="28" t="s">
        <v>103</v>
      </c>
      <c r="R17" s="29" t="str">
        <f t="shared" ca="1" si="1"/>
        <v>2년1월10일</v>
      </c>
      <c r="S17" s="30"/>
    </row>
    <row r="18" spans="1:19" ht="13.5" x14ac:dyDescent="0.3">
      <c r="A18" s="22">
        <v>14</v>
      </c>
      <c r="B18" s="31" t="s">
        <v>104</v>
      </c>
      <c r="C18" s="31" t="s">
        <v>302</v>
      </c>
      <c r="D18" s="31" t="s">
        <v>316</v>
      </c>
      <c r="E18" s="31"/>
      <c r="F18" s="31" t="s">
        <v>305</v>
      </c>
      <c r="G18" s="31" t="s">
        <v>167</v>
      </c>
      <c r="H18" s="32" t="s">
        <v>19</v>
      </c>
      <c r="I18" s="25">
        <v>260</v>
      </c>
      <c r="J18" s="23" t="s">
        <v>44</v>
      </c>
      <c r="K18" s="23" t="s">
        <v>105</v>
      </c>
      <c r="L18" s="26">
        <f t="shared" ca="1" si="0"/>
        <v>32</v>
      </c>
      <c r="M18" s="23" t="s">
        <v>70</v>
      </c>
      <c r="N18" s="23" t="s">
        <v>106</v>
      </c>
      <c r="O18" s="35" t="s">
        <v>107</v>
      </c>
      <c r="P18" s="31" t="s">
        <v>102</v>
      </c>
      <c r="Q18" s="28" t="s">
        <v>108</v>
      </c>
      <c r="R18" s="29" t="str">
        <f t="shared" ca="1" si="1"/>
        <v>1년10월24일</v>
      </c>
      <c r="S18" s="30" t="s">
        <v>109</v>
      </c>
    </row>
    <row r="19" spans="1:19" ht="27" x14ac:dyDescent="0.3">
      <c r="A19" s="22">
        <v>15</v>
      </c>
      <c r="B19" s="31" t="s">
        <v>110</v>
      </c>
      <c r="C19" s="31" t="s">
        <v>302</v>
      </c>
      <c r="D19" s="31" t="s">
        <v>316</v>
      </c>
      <c r="E19" s="31"/>
      <c r="F19" s="31" t="s">
        <v>305</v>
      </c>
      <c r="G19" s="31" t="s">
        <v>167</v>
      </c>
      <c r="H19" s="32" t="s">
        <v>19</v>
      </c>
      <c r="I19" s="25">
        <v>380</v>
      </c>
      <c r="J19" s="23" t="s">
        <v>44</v>
      </c>
      <c r="K19" s="23" t="s">
        <v>111</v>
      </c>
      <c r="L19" s="26">
        <f t="shared" ca="1" si="0"/>
        <v>49</v>
      </c>
      <c r="M19" s="23" t="s">
        <v>70</v>
      </c>
      <c r="N19" s="23" t="s">
        <v>112</v>
      </c>
      <c r="O19" s="35" t="s">
        <v>113</v>
      </c>
      <c r="P19" s="31" t="s">
        <v>114</v>
      </c>
      <c r="Q19" s="28" t="s">
        <v>115</v>
      </c>
      <c r="R19" s="29" t="str">
        <f t="shared" ca="1" si="1"/>
        <v>1년9월4일</v>
      </c>
      <c r="S19" s="30"/>
    </row>
    <row r="20" spans="1:19" ht="27" x14ac:dyDescent="0.3">
      <c r="A20" s="22">
        <v>16</v>
      </c>
      <c r="B20" s="23" t="s">
        <v>116</v>
      </c>
      <c r="C20" s="23" t="s">
        <v>302</v>
      </c>
      <c r="D20" s="23" t="s">
        <v>316</v>
      </c>
      <c r="E20" s="23"/>
      <c r="F20" s="23" t="s">
        <v>305</v>
      </c>
      <c r="G20" s="23" t="s">
        <v>167</v>
      </c>
      <c r="H20" s="24" t="s">
        <v>117</v>
      </c>
      <c r="I20" s="25">
        <v>380</v>
      </c>
      <c r="J20" s="23" t="s">
        <v>44</v>
      </c>
      <c r="K20" s="23" t="s">
        <v>118</v>
      </c>
      <c r="L20" s="26">
        <f t="shared" ca="1" si="0"/>
        <v>37</v>
      </c>
      <c r="M20" s="23"/>
      <c r="N20" s="23" t="s">
        <v>119</v>
      </c>
      <c r="O20" s="35" t="s">
        <v>120</v>
      </c>
      <c r="P20" s="31" t="s">
        <v>48</v>
      </c>
      <c r="Q20" s="28" t="s">
        <v>121</v>
      </c>
      <c r="R20" s="29" t="str">
        <f t="shared" ca="1" si="1"/>
        <v>1년5월12일</v>
      </c>
      <c r="S20" s="30"/>
    </row>
    <row r="21" spans="1:19" ht="27" x14ac:dyDescent="0.3">
      <c r="A21" s="22">
        <v>17</v>
      </c>
      <c r="B21" s="23" t="s">
        <v>122</v>
      </c>
      <c r="C21" s="23" t="s">
        <v>302</v>
      </c>
      <c r="D21" s="23" t="s">
        <v>316</v>
      </c>
      <c r="E21" s="23"/>
      <c r="F21" s="23" t="s">
        <v>305</v>
      </c>
      <c r="G21" s="23" t="s">
        <v>167</v>
      </c>
      <c r="H21" s="24" t="s">
        <v>123</v>
      </c>
      <c r="I21" s="25">
        <v>300</v>
      </c>
      <c r="J21" s="23" t="s">
        <v>20</v>
      </c>
      <c r="K21" s="23" t="s">
        <v>124</v>
      </c>
      <c r="L21" s="26">
        <f t="shared" ca="1" si="0"/>
        <v>35</v>
      </c>
      <c r="M21" s="23" t="s">
        <v>22</v>
      </c>
      <c r="N21" s="23" t="s">
        <v>125</v>
      </c>
      <c r="O21" s="31" t="s">
        <v>126</v>
      </c>
      <c r="P21" s="34" t="s">
        <v>114</v>
      </c>
      <c r="Q21" s="28" t="s">
        <v>127</v>
      </c>
      <c r="R21" s="29" t="str">
        <f t="shared" ca="1" si="1"/>
        <v>1년3월24일</v>
      </c>
      <c r="S21" s="30"/>
    </row>
    <row r="22" spans="1:19" ht="27" x14ac:dyDescent="0.3">
      <c r="A22" s="22">
        <v>18</v>
      </c>
      <c r="B22" s="31" t="s">
        <v>128</v>
      </c>
      <c r="C22" s="31" t="s">
        <v>302</v>
      </c>
      <c r="D22" s="31" t="s">
        <v>316</v>
      </c>
      <c r="E22" s="31"/>
      <c r="F22" s="31" t="s">
        <v>305</v>
      </c>
      <c r="G22" s="31" t="s">
        <v>167</v>
      </c>
      <c r="H22" s="24" t="s">
        <v>129</v>
      </c>
      <c r="I22" s="25">
        <v>300</v>
      </c>
      <c r="J22" s="23" t="s">
        <v>20</v>
      </c>
      <c r="K22" s="23" t="s">
        <v>130</v>
      </c>
      <c r="L22" s="26">
        <f t="shared" ca="1" si="0"/>
        <v>53</v>
      </c>
      <c r="M22" s="23" t="s">
        <v>22</v>
      </c>
      <c r="N22" s="23" t="s">
        <v>131</v>
      </c>
      <c r="O22" s="31" t="s">
        <v>132</v>
      </c>
      <c r="P22" s="27" t="s">
        <v>55</v>
      </c>
      <c r="Q22" s="28" t="s">
        <v>133</v>
      </c>
      <c r="R22" s="29" t="str">
        <f t="shared" ca="1" si="1"/>
        <v>1년3월7일</v>
      </c>
      <c r="S22" s="30"/>
    </row>
    <row r="23" spans="1:19" ht="27" x14ac:dyDescent="0.3">
      <c r="A23" s="22">
        <v>19</v>
      </c>
      <c r="B23" s="31" t="s">
        <v>134</v>
      </c>
      <c r="C23" s="31" t="s">
        <v>302</v>
      </c>
      <c r="D23" s="31" t="s">
        <v>316</v>
      </c>
      <c r="E23" s="31"/>
      <c r="F23" s="31" t="s">
        <v>305</v>
      </c>
      <c r="G23" s="31" t="s">
        <v>167</v>
      </c>
      <c r="H23" s="24" t="s">
        <v>129</v>
      </c>
      <c r="I23" s="25">
        <v>260</v>
      </c>
      <c r="J23" s="23" t="s">
        <v>36</v>
      </c>
      <c r="K23" s="23" t="s">
        <v>135</v>
      </c>
      <c r="L23" s="26">
        <f t="shared" ca="1" si="0"/>
        <v>62</v>
      </c>
      <c r="M23" s="23" t="s">
        <v>70</v>
      </c>
      <c r="N23" s="23" t="s">
        <v>136</v>
      </c>
      <c r="O23" s="35" t="s">
        <v>137</v>
      </c>
      <c r="P23" s="31" t="s">
        <v>60</v>
      </c>
      <c r="Q23" s="28" t="s">
        <v>138</v>
      </c>
      <c r="R23" s="29" t="str">
        <f t="shared" ca="1" si="1"/>
        <v>1년3월0일</v>
      </c>
      <c r="S23" s="30"/>
    </row>
    <row r="24" spans="1:19" ht="13.5" x14ac:dyDescent="0.3">
      <c r="A24" s="22">
        <v>20</v>
      </c>
      <c r="B24" s="23" t="s">
        <v>139</v>
      </c>
      <c r="C24" s="23" t="s">
        <v>302</v>
      </c>
      <c r="D24" s="23" t="s">
        <v>316</v>
      </c>
      <c r="E24" s="23"/>
      <c r="F24" s="23" t="s">
        <v>305</v>
      </c>
      <c r="G24" s="23" t="s">
        <v>167</v>
      </c>
      <c r="H24" s="32" t="s">
        <v>19</v>
      </c>
      <c r="I24" s="25">
        <v>260</v>
      </c>
      <c r="J24" s="23" t="s">
        <v>36</v>
      </c>
      <c r="K24" s="23" t="s">
        <v>140</v>
      </c>
      <c r="L24" s="26">
        <f t="shared" ca="1" si="0"/>
        <v>38</v>
      </c>
      <c r="M24" s="23" t="s">
        <v>70</v>
      </c>
      <c r="N24" s="23" t="s">
        <v>141</v>
      </c>
      <c r="O24" s="35" t="s">
        <v>142</v>
      </c>
      <c r="P24" s="31" t="s">
        <v>102</v>
      </c>
      <c r="Q24" s="28" t="s">
        <v>143</v>
      </c>
      <c r="R24" s="29" t="str">
        <f t="shared" ca="1" si="1"/>
        <v>0년11월24일</v>
      </c>
      <c r="S24" s="30"/>
    </row>
    <row r="25" spans="1:19" ht="13.5" x14ac:dyDescent="0.3">
      <c r="A25" s="22">
        <v>21</v>
      </c>
      <c r="B25" s="23" t="s">
        <v>144</v>
      </c>
      <c r="C25" s="23" t="s">
        <v>302</v>
      </c>
      <c r="D25" s="23" t="s">
        <v>316</v>
      </c>
      <c r="E25" s="23"/>
      <c r="F25" s="23" t="s">
        <v>305</v>
      </c>
      <c r="G25" s="23" t="s">
        <v>167</v>
      </c>
      <c r="H25" s="32" t="s">
        <v>19</v>
      </c>
      <c r="I25" s="25">
        <v>260</v>
      </c>
      <c r="J25" s="23" t="s">
        <v>36</v>
      </c>
      <c r="K25" s="23" t="s">
        <v>145</v>
      </c>
      <c r="L25" s="26">
        <f t="shared" ca="1" si="0"/>
        <v>35</v>
      </c>
      <c r="M25" s="23" t="s">
        <v>70</v>
      </c>
      <c r="N25" s="23" t="s">
        <v>146</v>
      </c>
      <c r="O25" s="35" t="s">
        <v>147</v>
      </c>
      <c r="P25" s="31" t="s">
        <v>48</v>
      </c>
      <c r="Q25" s="28" t="s">
        <v>148</v>
      </c>
      <c r="R25" s="29" t="str">
        <f t="shared" ca="1" si="1"/>
        <v>0년10월24일</v>
      </c>
      <c r="S25" s="30"/>
    </row>
    <row r="26" spans="1:19" ht="13.5" x14ac:dyDescent="0.3">
      <c r="A26" s="22">
        <v>22</v>
      </c>
      <c r="B26" s="23" t="s">
        <v>149</v>
      </c>
      <c r="C26" s="23" t="s">
        <v>302</v>
      </c>
      <c r="D26" s="23" t="s">
        <v>316</v>
      </c>
      <c r="E26" s="23"/>
      <c r="F26" s="23" t="s">
        <v>305</v>
      </c>
      <c r="G26" s="23" t="s">
        <v>167</v>
      </c>
      <c r="H26" s="32" t="s">
        <v>19</v>
      </c>
      <c r="I26" s="25">
        <v>260</v>
      </c>
      <c r="J26" s="23" t="s">
        <v>44</v>
      </c>
      <c r="K26" s="23" t="s">
        <v>150</v>
      </c>
      <c r="L26" s="26">
        <f t="shared" ca="1" si="0"/>
        <v>30</v>
      </c>
      <c r="M26" s="23" t="s">
        <v>70</v>
      </c>
      <c r="N26" s="23" t="s">
        <v>151</v>
      </c>
      <c r="O26" s="35" t="s">
        <v>152</v>
      </c>
      <c r="P26" s="31" t="s">
        <v>60</v>
      </c>
      <c r="Q26" s="28" t="s">
        <v>153</v>
      </c>
      <c r="R26" s="29" t="str">
        <f t="shared" ca="1" si="1"/>
        <v>0년8월28일</v>
      </c>
      <c r="S26" s="30"/>
    </row>
    <row r="27" spans="1:19" ht="27" x14ac:dyDescent="0.3">
      <c r="A27" s="22">
        <v>23</v>
      </c>
      <c r="B27" s="23" t="s">
        <v>154</v>
      </c>
      <c r="C27" s="23" t="s">
        <v>302</v>
      </c>
      <c r="D27" s="23" t="s">
        <v>316</v>
      </c>
      <c r="E27" s="23"/>
      <c r="F27" s="23" t="s">
        <v>305</v>
      </c>
      <c r="G27" s="23" t="s">
        <v>167</v>
      </c>
      <c r="H27" s="24" t="s">
        <v>155</v>
      </c>
      <c r="I27" s="25">
        <v>220</v>
      </c>
      <c r="J27" s="23" t="s">
        <v>20</v>
      </c>
      <c r="K27" s="23" t="s">
        <v>156</v>
      </c>
      <c r="L27" s="26">
        <f t="shared" ca="1" si="0"/>
        <v>32</v>
      </c>
      <c r="M27" s="23" t="s">
        <v>22</v>
      </c>
      <c r="N27" s="23" t="s">
        <v>157</v>
      </c>
      <c r="O27" s="23" t="s">
        <v>158</v>
      </c>
      <c r="P27" s="23" t="s">
        <v>102</v>
      </c>
      <c r="Q27" s="28" t="s">
        <v>159</v>
      </c>
      <c r="R27" s="29" t="str">
        <f t="shared" ca="1" si="1"/>
        <v>0년5월24일</v>
      </c>
      <c r="S27" s="30"/>
    </row>
    <row r="28" spans="1:19" ht="13.5" x14ac:dyDescent="0.3">
      <c r="A28" s="22">
        <v>24</v>
      </c>
      <c r="B28" s="23" t="s">
        <v>160</v>
      </c>
      <c r="C28" s="23" t="s">
        <v>302</v>
      </c>
      <c r="D28" s="23" t="s">
        <v>316</v>
      </c>
      <c r="E28" s="23"/>
      <c r="F28" s="23" t="s">
        <v>305</v>
      </c>
      <c r="G28" s="23" t="s">
        <v>167</v>
      </c>
      <c r="H28" s="32" t="s">
        <v>19</v>
      </c>
      <c r="I28" s="25">
        <v>220</v>
      </c>
      <c r="J28" s="23" t="s">
        <v>20</v>
      </c>
      <c r="K28" s="23" t="s">
        <v>161</v>
      </c>
      <c r="L28" s="26">
        <f t="shared" ca="1" si="0"/>
        <v>37</v>
      </c>
      <c r="M28" s="23" t="s">
        <v>22</v>
      </c>
      <c r="N28" s="23" t="s">
        <v>162</v>
      </c>
      <c r="O28" s="23" t="s">
        <v>163</v>
      </c>
      <c r="P28" s="23" t="s">
        <v>164</v>
      </c>
      <c r="Q28" s="28" t="s">
        <v>165</v>
      </c>
      <c r="R28" s="29" t="str">
        <f t="shared" ca="1" si="1"/>
        <v>0년1월24일</v>
      </c>
      <c r="S28" s="30"/>
    </row>
    <row r="29" spans="1:19" ht="36" customHeight="1" x14ac:dyDescent="0.3">
      <c r="A29" s="36">
        <v>0</v>
      </c>
      <c r="B29" s="23" t="s">
        <v>169</v>
      </c>
      <c r="C29" s="23" t="s">
        <v>302</v>
      </c>
      <c r="D29" s="23" t="s">
        <v>316</v>
      </c>
      <c r="E29" s="23" t="s">
        <v>312</v>
      </c>
      <c r="F29" s="23" t="s">
        <v>308</v>
      </c>
      <c r="G29" s="23" t="s">
        <v>170</v>
      </c>
      <c r="H29" s="32" t="s">
        <v>19</v>
      </c>
      <c r="I29" s="25">
        <v>400</v>
      </c>
      <c r="J29" s="23" t="s">
        <v>20</v>
      </c>
      <c r="K29" s="23" t="s">
        <v>171</v>
      </c>
      <c r="L29" s="26">
        <f ca="1">IF(OR(MID(K29,8,1)="3",MID(K29,8,1)="4"),YEAR(TODAY())-(2000+LEFT(K29,2)),YEAR(TODAY())-(1900+LEFT(K29,2)))+1</f>
        <v>44</v>
      </c>
      <c r="M29" s="23" t="s">
        <v>22</v>
      </c>
      <c r="N29" s="23" t="s">
        <v>172</v>
      </c>
      <c r="O29" s="23" t="s">
        <v>172</v>
      </c>
      <c r="P29" s="23" t="s">
        <v>173</v>
      </c>
      <c r="Q29" s="28" t="s">
        <v>174</v>
      </c>
      <c r="R29" s="29" t="str">
        <f ca="1">DATEDIF(Q29,TODAY(),"Y")&amp;"년"&amp;DATEDIF(Q29,TODAY(),"YM")&amp;"월"&amp;DATEDIF(Q29,TODAY(),"MD")&amp;"일"</f>
        <v>2년0월24일</v>
      </c>
      <c r="S29" s="30"/>
    </row>
    <row r="30" spans="1:19" ht="36" customHeight="1" x14ac:dyDescent="0.3">
      <c r="A30" s="36">
        <v>1</v>
      </c>
      <c r="B30" s="23" t="s">
        <v>175</v>
      </c>
      <c r="C30" s="23" t="s">
        <v>302</v>
      </c>
      <c r="D30" s="23" t="s">
        <v>316</v>
      </c>
      <c r="E30" s="23"/>
      <c r="F30" s="23" t="s">
        <v>308</v>
      </c>
      <c r="G30" s="23" t="s">
        <v>176</v>
      </c>
      <c r="H30" s="24" t="s">
        <v>177</v>
      </c>
      <c r="I30" s="25">
        <v>380</v>
      </c>
      <c r="J30" s="23" t="s">
        <v>20</v>
      </c>
      <c r="K30" s="23" t="s">
        <v>178</v>
      </c>
      <c r="L30" s="26">
        <f t="shared" ref="L30:L39" ca="1" si="2">IF(OR(MID(K30,8,1)="3",MID(K30,8,1)="4"),YEAR(TODAY())-(2000+LEFT(K30,2)),YEAR(TODAY())-(1900+LEFT(K30,2)))+1</f>
        <v>44</v>
      </c>
      <c r="M30" s="23" t="s">
        <v>22</v>
      </c>
      <c r="N30" s="23" t="s">
        <v>179</v>
      </c>
      <c r="O30" s="23" t="s">
        <v>180</v>
      </c>
      <c r="P30" s="27" t="s">
        <v>181</v>
      </c>
      <c r="Q30" s="28" t="s">
        <v>182</v>
      </c>
      <c r="R30" s="29" t="str">
        <f t="shared" ref="R30:R39" ca="1" si="3">DATEDIF(Q30,TODAY(),"Y")&amp;"년"&amp;DATEDIF(Q30,TODAY(),"YM")&amp;"월"&amp;DATEDIF(Q30,TODAY(),"MD")&amp;"일"</f>
        <v>4년4월20일</v>
      </c>
      <c r="S30" s="30"/>
    </row>
    <row r="31" spans="1:19" ht="31.5" customHeight="1" x14ac:dyDescent="0.3">
      <c r="A31" s="36">
        <v>2</v>
      </c>
      <c r="B31" s="23" t="s">
        <v>183</v>
      </c>
      <c r="C31" s="23" t="s">
        <v>302</v>
      </c>
      <c r="D31" s="23" t="s">
        <v>316</v>
      </c>
      <c r="E31" s="23"/>
      <c r="F31" s="23" t="s">
        <v>307</v>
      </c>
      <c r="G31" s="23" t="s">
        <v>176</v>
      </c>
      <c r="H31" s="32" t="s">
        <v>19</v>
      </c>
      <c r="I31" s="25">
        <v>380</v>
      </c>
      <c r="J31" s="23" t="s">
        <v>20</v>
      </c>
      <c r="K31" s="23" t="s">
        <v>184</v>
      </c>
      <c r="L31" s="26">
        <f ca="1">IF(OR(MID(K31,8,1)="3",MID(K31,8,1)="4"),YEAR(TODAY())-(2000+LEFT(K31,2)),YEAR(TODAY())-(1900+LEFT(K31,2)))+1</f>
        <v>36</v>
      </c>
      <c r="M31" s="23" t="s">
        <v>22</v>
      </c>
      <c r="N31" s="23" t="s">
        <v>185</v>
      </c>
      <c r="O31" s="23" t="s">
        <v>186</v>
      </c>
      <c r="P31" s="23" t="s">
        <v>80</v>
      </c>
      <c r="Q31" s="28" t="s">
        <v>187</v>
      </c>
      <c r="R31" s="29" t="str">
        <f ca="1">DATEDIF(Q31,TODAY(),"Y")&amp;"년"&amp;DATEDIF(Q31,TODAY(),"YM")&amp;"월"&amp;DATEDIF(Q31,TODAY(),"MD")&amp;"일"</f>
        <v>3년4월24일</v>
      </c>
      <c r="S31" s="30"/>
    </row>
    <row r="32" spans="1:19" ht="31.5" customHeight="1" x14ac:dyDescent="0.3">
      <c r="A32" s="36">
        <v>3</v>
      </c>
      <c r="B32" s="23" t="s">
        <v>188</v>
      </c>
      <c r="C32" s="23" t="s">
        <v>302</v>
      </c>
      <c r="D32" s="23" t="s">
        <v>316</v>
      </c>
      <c r="E32" s="23"/>
      <c r="F32" s="23" t="s">
        <v>307</v>
      </c>
      <c r="G32" s="23" t="s">
        <v>176</v>
      </c>
      <c r="H32" s="32" t="s">
        <v>19</v>
      </c>
      <c r="I32" s="25">
        <v>380</v>
      </c>
      <c r="J32" s="23" t="s">
        <v>20</v>
      </c>
      <c r="K32" s="23" t="s">
        <v>189</v>
      </c>
      <c r="L32" s="26">
        <f ca="1">IF(OR(MID(K32,8,1)="3",MID(K32,8,1)="4"),YEAR(TODAY())-(2000+LEFT(K32,2)),YEAR(TODAY())-(1900+LEFT(K32,2)))+1</f>
        <v>50</v>
      </c>
      <c r="M32" s="23" t="s">
        <v>22</v>
      </c>
      <c r="N32" s="23" t="s">
        <v>190</v>
      </c>
      <c r="O32" s="23" t="s">
        <v>191</v>
      </c>
      <c r="P32" s="23" t="s">
        <v>102</v>
      </c>
      <c r="Q32" s="28" t="s">
        <v>192</v>
      </c>
      <c r="R32" s="29" t="str">
        <f ca="1">DATEDIF(Q32,TODAY(),"Y")&amp;"년"&amp;DATEDIF(Q32,TODAY(),"YM")&amp;"월"&amp;DATEDIF(Q32,TODAY(),"MD")&amp;"일"</f>
        <v>3년3월15일</v>
      </c>
      <c r="S32" s="30"/>
    </row>
    <row r="33" spans="1:19" ht="31.5" customHeight="1" x14ac:dyDescent="0.3">
      <c r="A33" s="36">
        <v>4</v>
      </c>
      <c r="B33" s="23" t="s">
        <v>193</v>
      </c>
      <c r="C33" s="23" t="s">
        <v>302</v>
      </c>
      <c r="D33" s="23" t="s">
        <v>316</v>
      </c>
      <c r="E33" s="23"/>
      <c r="F33" s="23" t="s">
        <v>307</v>
      </c>
      <c r="G33" s="23" t="s">
        <v>176</v>
      </c>
      <c r="H33" s="32" t="s">
        <v>194</v>
      </c>
      <c r="I33" s="25">
        <v>380</v>
      </c>
      <c r="J33" s="23" t="s">
        <v>20</v>
      </c>
      <c r="K33" s="23" t="s">
        <v>195</v>
      </c>
      <c r="L33" s="26">
        <f t="shared" ca="1" si="2"/>
        <v>33</v>
      </c>
      <c r="M33" s="23" t="s">
        <v>22</v>
      </c>
      <c r="N33" s="23" t="s">
        <v>196</v>
      </c>
      <c r="O33" s="23" t="s">
        <v>197</v>
      </c>
      <c r="P33" s="23" t="s">
        <v>198</v>
      </c>
      <c r="Q33" s="28" t="s">
        <v>199</v>
      </c>
      <c r="R33" s="29" t="str">
        <f t="shared" ca="1" si="3"/>
        <v>1년0월21일</v>
      </c>
      <c r="S33" s="30"/>
    </row>
    <row r="34" spans="1:19" ht="31.5" customHeight="1" x14ac:dyDescent="0.3">
      <c r="A34" s="36">
        <v>5</v>
      </c>
      <c r="B34" s="23" t="s">
        <v>200</v>
      </c>
      <c r="C34" s="23" t="s">
        <v>302</v>
      </c>
      <c r="D34" s="23" t="s">
        <v>316</v>
      </c>
      <c r="E34" s="23"/>
      <c r="F34" s="23" t="s">
        <v>307</v>
      </c>
      <c r="G34" s="23" t="s">
        <v>176</v>
      </c>
      <c r="H34" s="32" t="s">
        <v>19</v>
      </c>
      <c r="I34" s="25">
        <v>380</v>
      </c>
      <c r="J34" s="23" t="s">
        <v>44</v>
      </c>
      <c r="K34" s="23" t="s">
        <v>201</v>
      </c>
      <c r="L34" s="26">
        <f t="shared" ca="1" si="2"/>
        <v>36</v>
      </c>
      <c r="M34" s="23" t="s">
        <v>70</v>
      </c>
      <c r="N34" s="23" t="s">
        <v>202</v>
      </c>
      <c r="O34" s="23" t="s">
        <v>203</v>
      </c>
      <c r="P34" s="31" t="s">
        <v>204</v>
      </c>
      <c r="Q34" s="28" t="s">
        <v>205</v>
      </c>
      <c r="R34" s="29" t="str">
        <f t="shared" ca="1" si="3"/>
        <v>0년6월21일</v>
      </c>
      <c r="S34" s="30"/>
    </row>
    <row r="35" spans="1:19" ht="31.5" customHeight="1" x14ac:dyDescent="0.3">
      <c r="A35" s="36">
        <v>6</v>
      </c>
      <c r="B35" s="23" t="s">
        <v>206</v>
      </c>
      <c r="C35" s="23" t="s">
        <v>302</v>
      </c>
      <c r="D35" s="23" t="s">
        <v>316</v>
      </c>
      <c r="E35" s="23"/>
      <c r="F35" s="23" t="s">
        <v>307</v>
      </c>
      <c r="G35" s="23" t="s">
        <v>176</v>
      </c>
      <c r="H35" s="32" t="s">
        <v>19</v>
      </c>
      <c r="I35" s="25">
        <v>380</v>
      </c>
      <c r="J35" s="23" t="s">
        <v>44</v>
      </c>
      <c r="K35" s="23" t="s">
        <v>207</v>
      </c>
      <c r="L35" s="26">
        <f t="shared" ca="1" si="2"/>
        <v>38</v>
      </c>
      <c r="M35" s="23" t="s">
        <v>70</v>
      </c>
      <c r="N35" s="23" t="s">
        <v>208</v>
      </c>
      <c r="O35" s="23" t="s">
        <v>209</v>
      </c>
      <c r="P35" s="31" t="s">
        <v>66</v>
      </c>
      <c r="Q35" s="28" t="s">
        <v>159</v>
      </c>
      <c r="R35" s="29" t="str">
        <f t="shared" ca="1" si="3"/>
        <v>0년5월24일</v>
      </c>
      <c r="S35" s="30"/>
    </row>
    <row r="36" spans="1:19" ht="31.5" customHeight="1" x14ac:dyDescent="0.3">
      <c r="A36" s="36">
        <v>7</v>
      </c>
      <c r="B36" s="31" t="s">
        <v>210</v>
      </c>
      <c r="C36" s="31" t="s">
        <v>302</v>
      </c>
      <c r="D36" s="31" t="s">
        <v>316</v>
      </c>
      <c r="E36" s="31"/>
      <c r="F36" s="31" t="s">
        <v>313</v>
      </c>
      <c r="G36" s="31" t="s">
        <v>176</v>
      </c>
      <c r="H36" s="24" t="s">
        <v>211</v>
      </c>
      <c r="I36" s="25">
        <v>350</v>
      </c>
      <c r="J36" s="23" t="s">
        <v>44</v>
      </c>
      <c r="K36" s="23" t="s">
        <v>212</v>
      </c>
      <c r="L36" s="26">
        <f ca="1">IF(OR(MID(K36,8,1)="3",MID(K36,8,1)="4"),YEAR(TODAY())-(2000+LEFT(K36,2)),YEAR(TODAY())-(1900+LEFT(K36,2)))+1</f>
        <v>123</v>
      </c>
      <c r="M36" s="23" t="s">
        <v>70</v>
      </c>
      <c r="N36" s="23" t="s">
        <v>213</v>
      </c>
      <c r="O36" s="23" t="s">
        <v>214</v>
      </c>
      <c r="P36" s="23" t="s">
        <v>48</v>
      </c>
      <c r="Q36" s="28" t="s">
        <v>215</v>
      </c>
      <c r="R36" s="29" t="str">
        <f ca="1">DATEDIF(Q36,TODAY(),"Y")&amp;"년"&amp;DATEDIF(Q36,TODAY(),"YM")&amp;"월"&amp;DATEDIF(Q36,TODAY(),"MD")&amp;"일"</f>
        <v>0년5월19일</v>
      </c>
      <c r="S36" s="30" t="s">
        <v>216</v>
      </c>
    </row>
    <row r="37" spans="1:19" ht="31.5" customHeight="1" x14ac:dyDescent="0.3">
      <c r="A37" s="36">
        <v>8</v>
      </c>
      <c r="B37" s="23" t="s">
        <v>217</v>
      </c>
      <c r="C37" s="23" t="s">
        <v>302</v>
      </c>
      <c r="D37" s="23" t="s">
        <v>316</v>
      </c>
      <c r="E37" s="23"/>
      <c r="F37" s="23" t="s">
        <v>307</v>
      </c>
      <c r="G37" s="23" t="s">
        <v>176</v>
      </c>
      <c r="H37" s="24" t="s">
        <v>218</v>
      </c>
      <c r="I37" s="25">
        <v>380</v>
      </c>
      <c r="J37" s="23" t="s">
        <v>44</v>
      </c>
      <c r="K37" s="23" t="s">
        <v>219</v>
      </c>
      <c r="L37" s="26">
        <f t="shared" ca="1" si="2"/>
        <v>35</v>
      </c>
      <c r="M37" s="23" t="s">
        <v>70</v>
      </c>
      <c r="N37" s="23" t="s">
        <v>220</v>
      </c>
      <c r="O37" s="23" t="s">
        <v>221</v>
      </c>
      <c r="P37" s="31" t="s">
        <v>48</v>
      </c>
      <c r="Q37" s="28" t="s">
        <v>222</v>
      </c>
      <c r="R37" s="29" t="str">
        <f t="shared" ca="1" si="3"/>
        <v>0년4월9일</v>
      </c>
      <c r="S37" s="30"/>
    </row>
    <row r="38" spans="1:19" ht="31.5" customHeight="1" x14ac:dyDescent="0.3">
      <c r="A38" s="36">
        <v>9</v>
      </c>
      <c r="B38" s="23" t="s">
        <v>223</v>
      </c>
      <c r="C38" s="23" t="s">
        <v>302</v>
      </c>
      <c r="D38" s="23" t="s">
        <v>316</v>
      </c>
      <c r="E38" s="23"/>
      <c r="F38" s="23" t="s">
        <v>307</v>
      </c>
      <c r="G38" s="23" t="s">
        <v>176</v>
      </c>
      <c r="H38" s="32" t="s">
        <v>19</v>
      </c>
      <c r="I38" s="25">
        <v>380</v>
      </c>
      <c r="J38" s="23" t="s">
        <v>44</v>
      </c>
      <c r="K38" s="23" t="s">
        <v>224</v>
      </c>
      <c r="L38" s="26">
        <f t="shared" ca="1" si="2"/>
        <v>32</v>
      </c>
      <c r="M38" s="23" t="s">
        <v>70</v>
      </c>
      <c r="N38" s="23" t="s">
        <v>225</v>
      </c>
      <c r="O38" s="31" t="s">
        <v>226</v>
      </c>
      <c r="P38" s="31" t="s">
        <v>102</v>
      </c>
      <c r="Q38" s="28" t="s">
        <v>227</v>
      </c>
      <c r="R38" s="29" t="str">
        <f t="shared" ca="1" si="3"/>
        <v>0년2월24일</v>
      </c>
      <c r="S38" s="30"/>
    </row>
    <row r="39" spans="1:19" ht="31.5" customHeight="1" x14ac:dyDescent="0.3">
      <c r="A39" s="36">
        <v>10</v>
      </c>
      <c r="B39" s="23" t="s">
        <v>228</v>
      </c>
      <c r="C39" s="23" t="s">
        <v>302</v>
      </c>
      <c r="D39" s="23" t="s">
        <v>316</v>
      </c>
      <c r="E39" s="23"/>
      <c r="F39" s="23" t="s">
        <v>307</v>
      </c>
      <c r="G39" s="23" t="s">
        <v>176</v>
      </c>
      <c r="H39" s="32" t="s">
        <v>19</v>
      </c>
      <c r="I39" s="25">
        <v>380</v>
      </c>
      <c r="J39" s="23" t="s">
        <v>44</v>
      </c>
      <c r="K39" s="23" t="s">
        <v>229</v>
      </c>
      <c r="L39" s="26">
        <f t="shared" ca="1" si="2"/>
        <v>40</v>
      </c>
      <c r="M39" s="23" t="s">
        <v>70</v>
      </c>
      <c r="N39" s="23" t="s">
        <v>230</v>
      </c>
      <c r="O39" s="23" t="s">
        <v>231</v>
      </c>
      <c r="P39" s="31" t="s">
        <v>80</v>
      </c>
      <c r="Q39" s="28" t="s">
        <v>227</v>
      </c>
      <c r="R39" s="29" t="str">
        <f t="shared" ca="1" si="3"/>
        <v>0년2월24일</v>
      </c>
      <c r="S39" s="30"/>
    </row>
    <row r="40" spans="1:19" ht="31.5" customHeight="1" x14ac:dyDescent="0.3">
      <c r="A40" s="36">
        <v>11</v>
      </c>
      <c r="B40" s="23" t="s">
        <v>232</v>
      </c>
      <c r="C40" s="23" t="s">
        <v>302</v>
      </c>
      <c r="D40" s="23" t="s">
        <v>316</v>
      </c>
      <c r="E40" s="23"/>
      <c r="F40" s="23" t="s">
        <v>307</v>
      </c>
      <c r="G40" s="23" t="s">
        <v>176</v>
      </c>
      <c r="H40" s="32" t="s">
        <v>19</v>
      </c>
      <c r="I40" s="25">
        <v>390</v>
      </c>
      <c r="J40" s="23" t="s">
        <v>44</v>
      </c>
      <c r="K40" s="23" t="s">
        <v>233</v>
      </c>
      <c r="L40" s="26">
        <f ca="1">IF(OR(MID(K40,8,1)="3",MID(K40,8,1)="4"),YEAR(TODAY())-(2000+LEFT(K40,2)),YEAR(TODAY())-(1900+LEFT(K40,2)))+1</f>
        <v>38</v>
      </c>
      <c r="M40" s="23" t="s">
        <v>22</v>
      </c>
      <c r="N40" s="23" t="s">
        <v>234</v>
      </c>
      <c r="O40" s="23" t="s">
        <v>235</v>
      </c>
      <c r="P40" s="23" t="s">
        <v>164</v>
      </c>
      <c r="Q40" s="28" t="s">
        <v>236</v>
      </c>
      <c r="R40" s="29" t="str">
        <f ca="1">DATEDIF(Q40,TODAY(),"Y")&amp;"년"&amp;DATEDIF(Q40,TODAY(),"YM")&amp;"월"&amp;DATEDIF(Q40,TODAY(),"MD")&amp;"일"</f>
        <v>3년0월3일</v>
      </c>
      <c r="S40" s="30"/>
    </row>
    <row r="41" spans="1:19" ht="31.5" customHeight="1" x14ac:dyDescent="0.3">
      <c r="A41" s="36">
        <v>12</v>
      </c>
      <c r="B41" s="23" t="s">
        <v>237</v>
      </c>
      <c r="C41" s="23" t="s">
        <v>302</v>
      </c>
      <c r="D41" s="23" t="s">
        <v>317</v>
      </c>
      <c r="E41" s="23"/>
      <c r="F41" s="23" t="s">
        <v>314</v>
      </c>
      <c r="G41" s="23" t="s">
        <v>176</v>
      </c>
      <c r="H41" s="32" t="s">
        <v>19</v>
      </c>
      <c r="I41" s="25">
        <v>320</v>
      </c>
      <c r="J41" s="23" t="s">
        <v>36</v>
      </c>
      <c r="K41" s="23" t="s">
        <v>238</v>
      </c>
      <c r="L41" s="26">
        <f ca="1">IF(OR(MID(K41,8,1)="3",MID(K41,8,1)="4"),YEAR(TODAY())-(2000+LEFT(K41,2)),YEAR(TODAY())-(1900+LEFT(K41,2)))+1</f>
        <v>39</v>
      </c>
      <c r="M41" s="23" t="s">
        <v>70</v>
      </c>
      <c r="N41" s="23" t="s">
        <v>239</v>
      </c>
      <c r="O41" s="23" t="s">
        <v>240</v>
      </c>
      <c r="P41" s="31" t="s">
        <v>164</v>
      </c>
      <c r="Q41" s="28" t="s">
        <v>241</v>
      </c>
      <c r="R41" s="29" t="str">
        <f ca="1">DATEDIF(Q41,TODAY(),"Y")&amp;"년"&amp;DATEDIF(Q41,TODAY(),"YM")&amp;"월"&amp;DATEDIF(Q41,TODAY(),"MD")&amp;"일"</f>
        <v>0년5월28일</v>
      </c>
      <c r="S41" s="30"/>
    </row>
    <row r="42" spans="1:19" ht="31.5" customHeight="1" x14ac:dyDescent="0.3">
      <c r="A42" s="36">
        <v>13</v>
      </c>
      <c r="B42" s="23" t="s">
        <v>242</v>
      </c>
      <c r="C42" s="23" t="s">
        <v>302</v>
      </c>
      <c r="D42" s="23" t="s">
        <v>317</v>
      </c>
      <c r="E42" s="23"/>
      <c r="F42" s="23" t="s">
        <v>314</v>
      </c>
      <c r="G42" s="23" t="s">
        <v>176</v>
      </c>
      <c r="H42" s="32" t="s">
        <v>19</v>
      </c>
      <c r="I42" s="25">
        <v>320</v>
      </c>
      <c r="J42" s="23" t="s">
        <v>36</v>
      </c>
      <c r="K42" s="23" t="s">
        <v>243</v>
      </c>
      <c r="L42" s="26">
        <f ca="1">IF(OR(MID(K42,8,1)="3",MID(K42,8,1)="4"),YEAR(TODAY())-(2000+LEFT(K42,2)),YEAR(TODAY())-(1900+LEFT(K42,2)))+1</f>
        <v>46</v>
      </c>
      <c r="M42" s="23" t="s">
        <v>22</v>
      </c>
      <c r="N42" s="23" t="s">
        <v>244</v>
      </c>
      <c r="O42" s="23" t="s">
        <v>245</v>
      </c>
      <c r="P42" s="23" t="s">
        <v>80</v>
      </c>
      <c r="Q42" s="28" t="s">
        <v>246</v>
      </c>
      <c r="R42" s="29" t="str">
        <f ca="1">DATEDIF(Q42,TODAY(),"Y")&amp;"년"&amp;DATEDIF(Q42,TODAY(),"YM")&amp;"월"&amp;DATEDIF(Q42,TODAY(),"MD")&amp;"일"</f>
        <v>0년11월1일</v>
      </c>
      <c r="S42" s="30"/>
    </row>
    <row r="43" spans="1:19" ht="31.5" customHeight="1" x14ac:dyDescent="0.3">
      <c r="A43" s="36">
        <v>14</v>
      </c>
      <c r="B43" s="23" t="s">
        <v>247</v>
      </c>
      <c r="C43" s="23" t="s">
        <v>302</v>
      </c>
      <c r="D43" s="23" t="s">
        <v>317</v>
      </c>
      <c r="E43" s="23"/>
      <c r="F43" s="23" t="s">
        <v>314</v>
      </c>
      <c r="G43" s="23" t="s">
        <v>176</v>
      </c>
      <c r="H43" s="24" t="s">
        <v>248</v>
      </c>
      <c r="I43" s="25">
        <v>320</v>
      </c>
      <c r="J43" s="23" t="s">
        <v>36</v>
      </c>
      <c r="K43" s="23" t="s">
        <v>249</v>
      </c>
      <c r="L43" s="26">
        <f ca="1">IF(OR(MID(K43,8,1)="3",MID(K43,8,1)="4"),YEAR(TODAY())-(2000+LEFT(K43,2)),YEAR(TODAY())-(1900+LEFT(K43,2)))+1</f>
        <v>46</v>
      </c>
      <c r="M43" s="23" t="s">
        <v>22</v>
      </c>
      <c r="N43" s="23" t="s">
        <v>250</v>
      </c>
      <c r="O43" s="23" t="s">
        <v>251</v>
      </c>
      <c r="P43" s="23" t="s">
        <v>102</v>
      </c>
      <c r="Q43" s="28" t="s">
        <v>252</v>
      </c>
      <c r="R43" s="29" t="str">
        <f ca="1">DATEDIF(Q43,TODAY(),"Y")&amp;"년"&amp;DATEDIF(Q43,TODAY(),"YM")&amp;"월"&amp;DATEDIF(Q43,TODAY(),"MD")&amp;"일"</f>
        <v>0년1월5일</v>
      </c>
      <c r="S43" s="30"/>
    </row>
    <row r="44" spans="1:19" ht="31.5" customHeight="1" x14ac:dyDescent="0.3">
      <c r="A44" s="36">
        <v>15</v>
      </c>
      <c r="B44" s="23" t="s">
        <v>253</v>
      </c>
      <c r="C44" s="23" t="s">
        <v>302</v>
      </c>
      <c r="D44" s="23" t="s">
        <v>316</v>
      </c>
      <c r="E44" s="23"/>
      <c r="F44" s="23" t="s">
        <v>310</v>
      </c>
      <c r="G44" s="23" t="s">
        <v>176</v>
      </c>
      <c r="H44" s="32" t="s">
        <v>19</v>
      </c>
      <c r="I44" s="25">
        <v>390</v>
      </c>
      <c r="J44" s="23" t="s">
        <v>44</v>
      </c>
      <c r="K44" s="23" t="s">
        <v>254</v>
      </c>
      <c r="L44" s="26">
        <f t="shared" ref="L44:L49" ca="1" si="4">IF(OR(MID(K44,8,1)="3",MID(K44,8,1)="4"),YEAR(TODAY())-(2000+LEFT(K44,2)),YEAR(TODAY())-(1900+LEFT(K44,2)))+1</f>
        <v>36</v>
      </c>
      <c r="M44" s="23" t="s">
        <v>22</v>
      </c>
      <c r="N44" s="23" t="s">
        <v>255</v>
      </c>
      <c r="O44" s="23" t="s">
        <v>256</v>
      </c>
      <c r="P44" s="23" t="s">
        <v>102</v>
      </c>
      <c r="Q44" s="28" t="s">
        <v>257</v>
      </c>
      <c r="R44" s="29" t="str">
        <f t="shared" ref="R44:R49" ca="1" si="5">DATEDIF(Q44,TODAY(),"Y")&amp;"년"&amp;DATEDIF(Q44,TODAY(),"YM")&amp;"월"&amp;DATEDIF(Q44,TODAY(),"MD")&amp;"일"</f>
        <v>2년10월20일</v>
      </c>
      <c r="S44" s="30" t="s">
        <v>258</v>
      </c>
    </row>
    <row r="45" spans="1:19" ht="31.5" customHeight="1" x14ac:dyDescent="0.3">
      <c r="A45" s="36">
        <v>16</v>
      </c>
      <c r="B45" s="23" t="s">
        <v>259</v>
      </c>
      <c r="C45" s="23" t="s">
        <v>302</v>
      </c>
      <c r="D45" s="23" t="s">
        <v>316</v>
      </c>
      <c r="E45" s="23"/>
      <c r="F45" s="23" t="s">
        <v>309</v>
      </c>
      <c r="G45" s="23" t="s">
        <v>176</v>
      </c>
      <c r="H45" s="32" t="s">
        <v>19</v>
      </c>
      <c r="I45" s="25">
        <v>390</v>
      </c>
      <c r="J45" s="23" t="s">
        <v>44</v>
      </c>
      <c r="K45" s="23" t="s">
        <v>260</v>
      </c>
      <c r="L45" s="26">
        <f t="shared" ca="1" si="4"/>
        <v>38</v>
      </c>
      <c r="M45" s="23" t="s">
        <v>70</v>
      </c>
      <c r="N45" s="23" t="s">
        <v>261</v>
      </c>
      <c r="O45" s="23" t="s">
        <v>262</v>
      </c>
      <c r="P45" s="23" t="s">
        <v>102</v>
      </c>
      <c r="Q45" s="28" t="s">
        <v>263</v>
      </c>
      <c r="R45" s="29" t="str">
        <f t="shared" ca="1" si="5"/>
        <v>2년1월0일</v>
      </c>
      <c r="S45" s="30"/>
    </row>
    <row r="46" spans="1:19" ht="31.5" customHeight="1" x14ac:dyDescent="0.3">
      <c r="A46" s="36">
        <v>17</v>
      </c>
      <c r="B46" s="23" t="s">
        <v>264</v>
      </c>
      <c r="C46" s="23" t="s">
        <v>302</v>
      </c>
      <c r="D46" s="23" t="s">
        <v>316</v>
      </c>
      <c r="E46" s="23"/>
      <c r="F46" s="23" t="s">
        <v>309</v>
      </c>
      <c r="G46" s="23" t="s">
        <v>176</v>
      </c>
      <c r="H46" s="32" t="s">
        <v>19</v>
      </c>
      <c r="I46" s="25">
        <v>390</v>
      </c>
      <c r="J46" s="23" t="s">
        <v>44</v>
      </c>
      <c r="K46" s="23" t="s">
        <v>265</v>
      </c>
      <c r="L46" s="26">
        <f t="shared" ca="1" si="4"/>
        <v>39</v>
      </c>
      <c r="M46" s="23" t="s">
        <v>70</v>
      </c>
      <c r="N46" s="23" t="s">
        <v>266</v>
      </c>
      <c r="O46" s="23" t="s">
        <v>267</v>
      </c>
      <c r="P46" s="23" t="s">
        <v>66</v>
      </c>
      <c r="Q46" s="28" t="s">
        <v>268</v>
      </c>
      <c r="R46" s="29" t="str">
        <f t="shared" ca="1" si="5"/>
        <v>1년4월3일</v>
      </c>
      <c r="S46" s="30"/>
    </row>
    <row r="47" spans="1:19" ht="31.5" customHeight="1" x14ac:dyDescent="0.3">
      <c r="A47" s="36">
        <v>18</v>
      </c>
      <c r="B47" s="23" t="s">
        <v>269</v>
      </c>
      <c r="C47" s="23" t="s">
        <v>302</v>
      </c>
      <c r="D47" s="23" t="s">
        <v>316</v>
      </c>
      <c r="E47" s="23"/>
      <c r="F47" s="23" t="s">
        <v>309</v>
      </c>
      <c r="G47" s="23" t="s">
        <v>176</v>
      </c>
      <c r="H47" s="32" t="s">
        <v>19</v>
      </c>
      <c r="I47" s="25">
        <v>390</v>
      </c>
      <c r="J47" s="23" t="s">
        <v>44</v>
      </c>
      <c r="K47" s="23" t="s">
        <v>270</v>
      </c>
      <c r="L47" s="26">
        <f t="shared" ca="1" si="4"/>
        <v>36</v>
      </c>
      <c r="M47" s="23" t="s">
        <v>70</v>
      </c>
      <c r="N47" s="23" t="s">
        <v>271</v>
      </c>
      <c r="O47" s="23" t="s">
        <v>271</v>
      </c>
      <c r="P47" s="23" t="s">
        <v>55</v>
      </c>
      <c r="Q47" s="28" t="s">
        <v>272</v>
      </c>
      <c r="R47" s="29" t="str">
        <f t="shared" ca="1" si="5"/>
        <v>1년0월1일</v>
      </c>
      <c r="S47" s="30"/>
    </row>
    <row r="48" spans="1:19" ht="31.5" customHeight="1" x14ac:dyDescent="0.3">
      <c r="A48" s="36">
        <v>19</v>
      </c>
      <c r="B48" s="23" t="s">
        <v>273</v>
      </c>
      <c r="C48" s="23" t="s">
        <v>302</v>
      </c>
      <c r="D48" s="23" t="s">
        <v>316</v>
      </c>
      <c r="E48" s="23"/>
      <c r="F48" s="23" t="s">
        <v>309</v>
      </c>
      <c r="G48" s="23" t="s">
        <v>176</v>
      </c>
      <c r="H48" s="32" t="s">
        <v>19</v>
      </c>
      <c r="I48" s="25">
        <v>380</v>
      </c>
      <c r="J48" s="23" t="s">
        <v>44</v>
      </c>
      <c r="K48" s="23" t="s">
        <v>274</v>
      </c>
      <c r="L48" s="26">
        <f t="shared" ca="1" si="4"/>
        <v>26</v>
      </c>
      <c r="M48" s="23" t="s">
        <v>70</v>
      </c>
      <c r="N48" s="23" t="s">
        <v>275</v>
      </c>
      <c r="O48" s="23" t="s">
        <v>276</v>
      </c>
      <c r="P48" s="31" t="s">
        <v>198</v>
      </c>
      <c r="Q48" s="28" t="s">
        <v>277</v>
      </c>
      <c r="R48" s="29" t="str">
        <f t="shared" ca="1" si="5"/>
        <v>0년3월15일</v>
      </c>
      <c r="S48" s="30"/>
    </row>
    <row r="49" spans="1:19" ht="31.5" customHeight="1" x14ac:dyDescent="0.3">
      <c r="A49" s="36">
        <v>20</v>
      </c>
      <c r="B49" s="23" t="s">
        <v>278</v>
      </c>
      <c r="C49" s="23" t="s">
        <v>302</v>
      </c>
      <c r="D49" s="23" t="s">
        <v>316</v>
      </c>
      <c r="E49" s="23"/>
      <c r="F49" s="23" t="s">
        <v>309</v>
      </c>
      <c r="G49" s="23" t="s">
        <v>176</v>
      </c>
      <c r="H49" s="32" t="s">
        <v>19</v>
      </c>
      <c r="I49" s="25">
        <v>380</v>
      </c>
      <c r="J49" s="23" t="s">
        <v>44</v>
      </c>
      <c r="K49" s="23" t="s">
        <v>279</v>
      </c>
      <c r="L49" s="26">
        <f t="shared" ca="1" si="4"/>
        <v>44</v>
      </c>
      <c r="M49" s="23" t="s">
        <v>70</v>
      </c>
      <c r="N49" s="23" t="s">
        <v>280</v>
      </c>
      <c r="O49" s="23" t="s">
        <v>281</v>
      </c>
      <c r="P49" s="31" t="s">
        <v>60</v>
      </c>
      <c r="Q49" s="28" t="s">
        <v>282</v>
      </c>
      <c r="R49" s="29" t="str">
        <f t="shared" ca="1" si="5"/>
        <v>0년2월18일</v>
      </c>
      <c r="S49" s="30"/>
    </row>
    <row r="50" spans="1:19" ht="31.5" customHeight="1" x14ac:dyDescent="0.3">
      <c r="A50" s="36">
        <v>21</v>
      </c>
      <c r="B50" s="23" t="s">
        <v>283</v>
      </c>
      <c r="C50" s="23" t="s">
        <v>302</v>
      </c>
      <c r="D50" s="23" t="s">
        <v>318</v>
      </c>
      <c r="E50" s="23"/>
      <c r="F50" s="23" t="s">
        <v>308</v>
      </c>
      <c r="G50" s="23" t="s">
        <v>176</v>
      </c>
      <c r="H50" s="24" t="s">
        <v>284</v>
      </c>
      <c r="I50" s="25">
        <v>350</v>
      </c>
      <c r="J50" s="23" t="s">
        <v>44</v>
      </c>
      <c r="K50" s="23" t="s">
        <v>285</v>
      </c>
      <c r="L50" s="26">
        <f ca="1">IF(OR(MID(K50,8,1)="3",MID(K50,8,1)="4"),YEAR(TODAY())-(2000+LEFT(K50,2)),YEAR(TODAY())-(1900+LEFT(K50,2)))+1</f>
        <v>28</v>
      </c>
      <c r="M50" s="23" t="s">
        <v>70</v>
      </c>
      <c r="N50" s="23" t="s">
        <v>286</v>
      </c>
      <c r="O50" s="23" t="s">
        <v>287</v>
      </c>
      <c r="P50" s="23" t="s">
        <v>55</v>
      </c>
      <c r="Q50" s="28" t="s">
        <v>288</v>
      </c>
      <c r="R50" s="29" t="str">
        <f ca="1">DATEDIF(Q50,TODAY(),"Y")&amp;"년"&amp;DATEDIF(Q50,TODAY(),"YM")&amp;"월"&amp;DATEDIF(Q50,TODAY(),"MD")&amp;"일"</f>
        <v>2년4월16일</v>
      </c>
      <c r="S50" s="30"/>
    </row>
    <row r="51" spans="1:19" ht="31.5" customHeight="1" x14ac:dyDescent="0.3">
      <c r="A51" s="36">
        <v>22</v>
      </c>
      <c r="B51" s="23" t="s">
        <v>289</v>
      </c>
      <c r="C51" s="23" t="s">
        <v>302</v>
      </c>
      <c r="D51" s="23" t="s">
        <v>318</v>
      </c>
      <c r="E51" s="23"/>
      <c r="F51" s="23" t="s">
        <v>308</v>
      </c>
      <c r="G51" s="23" t="s">
        <v>176</v>
      </c>
      <c r="H51" s="24" t="s">
        <v>290</v>
      </c>
      <c r="I51" s="25">
        <v>350</v>
      </c>
      <c r="J51" s="23" t="s">
        <v>44</v>
      </c>
      <c r="K51" s="23" t="s">
        <v>291</v>
      </c>
      <c r="L51" s="26">
        <f ca="1">IF(OR(MID(K51,8,1)="3",MID(K51,8,1)="4"),YEAR(TODAY())-(2000+LEFT(K51,2)),YEAR(TODAY())-(1900+LEFT(K51,2)))+1</f>
        <v>35</v>
      </c>
      <c r="M51" s="23" t="s">
        <v>70</v>
      </c>
      <c r="N51" s="23" t="s">
        <v>292</v>
      </c>
      <c r="O51" s="23" t="s">
        <v>293</v>
      </c>
      <c r="P51" s="23" t="s">
        <v>55</v>
      </c>
      <c r="Q51" s="28" t="s">
        <v>294</v>
      </c>
      <c r="R51" s="29" t="str">
        <f ca="1">DATEDIF(Q51,TODAY(),"Y")&amp;"년"&amp;DATEDIF(Q51,TODAY(),"YM")&amp;"월"&amp;DATEDIF(Q51,TODAY(),"MD")&amp;"일"</f>
        <v>1년7월10일</v>
      </c>
      <c r="S51" s="30"/>
    </row>
    <row r="52" spans="1:19" ht="31.5" customHeight="1" x14ac:dyDescent="0.3">
      <c r="A52" s="36">
        <v>23</v>
      </c>
      <c r="B52" s="23" t="s">
        <v>295</v>
      </c>
      <c r="C52" s="23" t="s">
        <v>302</v>
      </c>
      <c r="D52" s="23" t="s">
        <v>318</v>
      </c>
      <c r="E52" s="23"/>
      <c r="F52" s="23" t="s">
        <v>319</v>
      </c>
      <c r="G52" s="23" t="s">
        <v>176</v>
      </c>
      <c r="H52" s="24" t="s">
        <v>296</v>
      </c>
      <c r="I52" s="25">
        <v>264</v>
      </c>
      <c r="J52" s="23" t="s">
        <v>36</v>
      </c>
      <c r="K52" s="23" t="s">
        <v>297</v>
      </c>
      <c r="L52" s="26">
        <f ca="1">IF(OR(MID(K52,8,1)="3",MID(K52,8,1)="4"),YEAR(TODAY())-(2000+LEFT(K52,2)),YEAR(TODAY())-(1900+LEFT(K52,2)))+1</f>
        <v>44</v>
      </c>
      <c r="M52" s="23" t="s">
        <v>22</v>
      </c>
      <c r="N52" s="23" t="s">
        <v>298</v>
      </c>
      <c r="O52" s="23" t="s">
        <v>299</v>
      </c>
      <c r="P52" s="31" t="s">
        <v>80</v>
      </c>
      <c r="Q52" s="28" t="s">
        <v>300</v>
      </c>
      <c r="R52" s="29" t="str">
        <f ca="1">DATEDIF(Q52,TODAY(),"Y")&amp;"년"&amp;DATEDIF(Q52,TODAY(),"YM")&amp;"월"&amp;DATEDIF(Q52,TODAY(),"MD")&amp;"일"</f>
        <v>0년8월9일</v>
      </c>
      <c r="S52" s="30"/>
    </row>
  </sheetData>
  <mergeCells count="1">
    <mergeCell ref="A1:P2"/>
  </mergeCells>
  <phoneticPr fontId="3" type="noConversion"/>
  <conditionalFormatting sqref="B15:G15 J15:R15">
    <cfRule type="containsText" dxfId="15" priority="21" stopIfTrue="1" operator="containsText" text="여">
      <formula>NOT(ISERROR(SEARCH("여",B1048544)))</formula>
    </cfRule>
  </conditionalFormatting>
  <conditionalFormatting sqref="B16:G16 J16:R16">
    <cfRule type="containsText" dxfId="14" priority="19" stopIfTrue="1" operator="containsText" text="여">
      <formula>NOT(ISERROR(SEARCH("여",#REF!)))</formula>
    </cfRule>
  </conditionalFormatting>
  <conditionalFormatting sqref="B17:G17 J17:R17">
    <cfRule type="containsText" dxfId="13" priority="17" stopIfTrue="1" operator="containsText" text="여">
      <formula>NOT(ISERROR(SEARCH("여",B2)))</formula>
    </cfRule>
  </conditionalFormatting>
  <conditionalFormatting sqref="B18:G18 J18:R18">
    <cfRule type="containsText" dxfId="12" priority="16" stopIfTrue="1" operator="containsText" text="여">
      <formula>NOT(ISERROR(SEARCH("여",B4)))</formula>
    </cfRule>
  </conditionalFormatting>
  <conditionalFormatting sqref="B20:G20 J20:R20">
    <cfRule type="containsText" dxfId="11" priority="22" stopIfTrue="1" operator="containsText" text="여">
      <formula>NOT(ISERROR(SEARCH("여",B1048556)))</formula>
    </cfRule>
  </conditionalFormatting>
  <conditionalFormatting sqref="B22:G23 J23 L23:R23">
    <cfRule type="containsText" dxfId="10" priority="11" stopIfTrue="1" operator="containsText" text="여">
      <formula>NOT(ISERROR(SEARCH("여",B1048531)))</formula>
    </cfRule>
  </conditionalFormatting>
  <conditionalFormatting sqref="B25:G26 J25:R26">
    <cfRule type="containsText" dxfId="9" priority="10" stopIfTrue="1" operator="containsText" text="여">
      <formula>NOT(ISERROR(SEARCH("여",B4)))</formula>
    </cfRule>
  </conditionalFormatting>
  <conditionalFormatting sqref="B27:R28 B5:S13 B14:R14 I21:R22 B29:S52">
    <cfRule type="containsText" dxfId="8" priority="5" stopIfTrue="1" operator="containsText" text="여">
      <formula>NOT(ISERROR(SEARCH("여",B5)))</formula>
    </cfRule>
  </conditionalFormatting>
  <conditionalFormatting sqref="B21:G21">
    <cfRule type="containsText" dxfId="7" priority="18" stopIfTrue="1" operator="containsText" text="여">
      <formula>NOT(ISERROR(SEARCH("여",B21)))</formula>
    </cfRule>
  </conditionalFormatting>
  <conditionalFormatting sqref="H21:H23">
    <cfRule type="containsText" dxfId="6" priority="6" stopIfTrue="1" operator="containsText" text="여">
      <formula>NOT(ISERROR(SEARCH("여",H21)))</formula>
    </cfRule>
  </conditionalFormatting>
  <conditionalFormatting sqref="H15:I20">
    <cfRule type="containsText" dxfId="5" priority="13" stopIfTrue="1" operator="containsText" text="여">
      <formula>NOT(ISERROR(SEARCH("여",H15)))</formula>
    </cfRule>
  </conditionalFormatting>
  <conditionalFormatting sqref="H24:I26">
    <cfRule type="containsText" dxfId="4" priority="9" stopIfTrue="1" operator="containsText" text="여">
      <formula>NOT(ISERROR(SEARCH("여",H24)))</formula>
    </cfRule>
  </conditionalFormatting>
  <conditionalFormatting sqref="I23">
    <cfRule type="containsText" dxfId="3" priority="15" stopIfTrue="1" operator="containsText" text="여">
      <formula>NOT(ISERROR(SEARCH("여",I23)))</formula>
    </cfRule>
  </conditionalFormatting>
  <conditionalFormatting sqref="K23">
    <cfRule type="containsText" dxfId="2" priority="12" stopIfTrue="1" operator="containsText" text="여">
      <formula>NOT(ISERROR(SEARCH("여",K1048533)))</formula>
    </cfRule>
  </conditionalFormatting>
  <conditionalFormatting sqref="S14:S26">
    <cfRule type="containsText" dxfId="1" priority="4" stopIfTrue="1" operator="containsText" text="여">
      <formula>NOT(ISERROR(SEARCH("여",S14)))</formula>
    </cfRule>
  </conditionalFormatting>
  <conditionalFormatting sqref="S27:S28">
    <cfRule type="containsText" dxfId="0" priority="24" stopIfTrue="1" operator="containsText" text="여">
      <formula>NOT(ISERROR(SEARCH("여",S1048554)))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태경홀딩스_근로자명부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hui45</dc:creator>
  <cp:lastModifiedBy>hui45</cp:lastModifiedBy>
  <dcterms:created xsi:type="dcterms:W3CDTF">2026-02-24T16:14:44Z</dcterms:created>
  <dcterms:modified xsi:type="dcterms:W3CDTF">2026-02-24T16:56:52Z</dcterms:modified>
</cp:coreProperties>
</file>